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amp; scoring" sheetId="1" state="visible" r:id="rId1"/>
    <sheet xmlns:r="http://schemas.openxmlformats.org/officeDocument/2006/relationships" name="Master checklist" sheetId="2" state="visible" r:id="rId2"/>
    <sheet xmlns:r="http://schemas.openxmlformats.org/officeDocument/2006/relationships" name="Pre-publish gate" sheetId="3" state="visible" r:id="rId3"/>
    <sheet xmlns:r="http://schemas.openxmlformats.org/officeDocument/2006/relationships" name="Spam red lines" sheetId="4" state="visible" r:id="rId4"/>
  </sheets>
  <definedNames>
    <definedName name="_xlnm._FilterDatabase" localSheetId="1" hidden="1">'Master checklist'!$A$1:$H$80</definedName>
    <definedName name="_xlnm._FilterDatabase" localSheetId="2" hidden="1">'Pre-publish gate'!$A$2:$E$20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A1A1A"/>
      <sz val="16"/>
    </font>
    <font>
      <i val="1"/>
      <color rgb="00444444"/>
      <sz val="10"/>
    </font>
    <font>
      <b val="1"/>
      <sz val="10"/>
    </font>
    <font>
      <sz val="10"/>
    </font>
    <font>
      <b val="1"/>
      <color rgb="00FFFFFF"/>
      <sz val="11"/>
    </font>
    <font>
      <color rgb="00444444"/>
      <sz val="9"/>
    </font>
    <font>
      <i val="1"/>
      <color rgb="00666666"/>
      <sz val="10"/>
    </font>
    <font>
      <b val="1"/>
      <color rgb="001A73E8"/>
      <sz val="13"/>
    </font>
    <font>
      <b val="1"/>
      <color rgb="00C5221F"/>
      <sz val="13"/>
    </font>
  </fonts>
  <fills count="12">
    <fill>
      <patternFill/>
    </fill>
    <fill>
      <patternFill patternType="gray125"/>
    </fill>
    <fill>
      <patternFill patternType="solid">
        <fgColor rgb="001A73E8"/>
      </patternFill>
    </fill>
    <fill>
      <patternFill patternType="solid">
        <fgColor rgb="00F8F9FA"/>
      </patternFill>
    </fill>
    <fill>
      <patternFill patternType="solid">
        <fgColor rgb="00E8F0FE"/>
      </patternFill>
    </fill>
    <fill>
      <patternFill patternType="solid">
        <fgColor rgb="00F3E8FD"/>
      </patternFill>
    </fill>
    <fill>
      <patternFill patternType="solid">
        <fgColor rgb="00E6F4EA"/>
      </patternFill>
    </fill>
    <fill>
      <patternFill patternType="solid">
        <fgColor rgb="00FEF7E0"/>
      </patternFill>
    </fill>
    <fill>
      <patternFill patternType="solid">
        <fgColor rgb="00FCE8E6"/>
      </patternFill>
    </fill>
    <fill>
      <patternFill patternType="solid">
        <fgColor rgb="00F1F3F4"/>
      </patternFill>
    </fill>
    <fill>
      <patternFill patternType="solid">
        <fgColor rgb="00FFFFFF"/>
      </patternFill>
    </fill>
    <fill>
      <patternFill patternType="solid">
        <fgColor rgb="00C5221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top" wrapText="1"/>
    </xf>
    <xf numFmtId="0" fontId="4" fillId="0" borderId="1" applyAlignment="1" pivotButton="0" quotePrefix="0" xfId="0">
      <alignment vertical="top" wrapText="1"/>
    </xf>
    <xf numFmtId="0" fontId="4" fillId="0" borderId="1" applyAlignment="1" pivotButton="0" quotePrefix="0" xfId="0">
      <alignment horizontal="center" vertical="top" wrapText="1"/>
    </xf>
    <xf numFmtId="9" fontId="4" fillId="0" borderId="1" applyAlignment="1" pivotButton="0" quotePrefix="0" xfId="0">
      <alignment horizontal="center" vertical="top" wrapText="1"/>
    </xf>
    <xf numFmtId="0" fontId="4" fillId="3" borderId="1" applyAlignment="1" pivotButton="0" quotePrefix="0" xfId="0">
      <alignment vertical="top" wrapText="1"/>
    </xf>
    <xf numFmtId="0" fontId="4" fillId="3" borderId="1" applyAlignment="1" pivotButton="0" quotePrefix="0" xfId="0">
      <alignment horizontal="center" vertical="top" wrapText="1"/>
    </xf>
    <xf numFmtId="9" fontId="4" fillId="3" borderId="1" applyAlignment="1" pivotButton="0" quotePrefix="0" xfId="0">
      <alignment horizontal="center" vertical="top" wrapText="1"/>
    </xf>
    <xf numFmtId="0" fontId="3" fillId="4" borderId="1" pivotButton="0" quotePrefix="0" xfId="0"/>
    <xf numFmtId="9" fontId="3" fillId="4" borderId="1" pivotButton="0" quotePrefix="0" xfId="0"/>
    <xf numFmtId="0" fontId="6" fillId="0" borderId="0"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7" fillId="0" borderId="0" pivotButton="0" quotePrefix="0" xfId="0"/>
    <xf numFmtId="0" fontId="8" fillId="0" borderId="0" applyAlignment="1" pivotButton="0" quotePrefix="0" xfId="0">
      <alignment vertical="center"/>
    </xf>
    <xf numFmtId="0" fontId="4" fillId="10" borderId="1" applyAlignment="1" pivotButton="0" quotePrefix="0" xfId="0">
      <alignment vertical="top" wrapText="1"/>
    </xf>
    <xf numFmtId="0" fontId="9" fillId="0" borderId="0" applyAlignment="1" pivotButton="0" quotePrefix="0" xfId="0">
      <alignment vertical="center"/>
    </xf>
    <xf numFmtId="0" fontId="5" fillId="11" borderId="1" applyAlignment="1" pivotButton="0" quotePrefix="0" xfId="0">
      <alignment horizontal="center" vertical="top" wrapText="1"/>
    </xf>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7"/>
  <sheetViews>
    <sheetView workbookViewId="0">
      <selection activeCell="A1" sqref="A1"/>
    </sheetView>
  </sheetViews>
  <sheetFormatPr baseColWidth="8" defaultRowHeight="15"/>
  <cols>
    <col width="28" customWidth="1" min="1" max="1"/>
    <col width="14" customWidth="1" min="2" max="2"/>
    <col width="14" customWidth="1" min="3" max="3"/>
    <col width="10" customWidth="1" min="4" max="4"/>
    <col width="16" customWidth="1" min="5" max="5"/>
    <col width="20" customWidth="1" min="6" max="6"/>
  </cols>
  <sheetData>
    <row r="1" ht="28" customHeight="1">
      <c r="A1" s="1" t="inlineStr">
        <is>
          <t>Google Ranking Signals — Team Compliance Checklist</t>
        </is>
      </c>
    </row>
    <row r="2">
      <c r="A2" s="2" t="inlineStr">
        <is>
          <t>Derived exclusively from Google's own public documentation (How Search Works + Google Search Central). Every item cites its source.</t>
        </is>
      </c>
    </row>
    <row r="4">
      <c r="A4" s="3" t="inlineStr">
        <is>
          <t>The honest expert note (read this first)</t>
        </is>
      </c>
    </row>
    <row r="5" ht="78" customHeight="1">
      <c r="A5" s="4" t="inlineStr">
        <is>
          <t>Google states plainly: it does not guarantee crawling, indexing, or ranking — even for pages that follow every guideline — and it accepts no payment to rank anyone higher. Rankings come from hundreds of signals weighed against live competition, and the weights shift by query type (e.g. freshness matters more for news than for definitions). So this checklist cannot promise #1. What it does: it converts everything Google publicly says it rewards — and everything it says it punishes — into concrete, auditable team actions. A site at 95%+ compliance here has removed nearly every self-inflicted reason Google has to hold it back. That is the highest-probability position a team can manufacture; the rest is competition and time.</t>
        </is>
      </c>
    </row>
    <row r="6"/>
    <row r="7"/>
    <row r="8">
      <c r="A8" s="3" t="inlineStr">
        <is>
          <t>How to use</t>
        </is>
      </c>
    </row>
    <row r="9" ht="30" customHeight="1">
      <c r="A9" s="4" t="inlineStr">
        <is>
          <t>1. MASTER CHECKLIST — run per site, quarterly (or before any launch). Owner column tells you who does what: Content = writers/editors, Dev = developers, SEO Lead = strategist, All = everyone.</t>
        </is>
      </c>
    </row>
    <row r="10" ht="30" customHeight="1">
      <c r="A10" s="4" t="inlineStr">
        <is>
          <t>2. PRE-PUBLISH GATE — the writer's 18-point gate. No page ships until every applicable item is Pass.</t>
        </is>
      </c>
    </row>
    <row r="11" ht="30" customHeight="1">
      <c r="A11" s="4" t="inlineStr">
        <is>
          <t>3. SPAM RED LINES — 17 hard don'ts from Google's spam policies. These need 100%. One violation can sink a site.</t>
        </is>
      </c>
    </row>
    <row r="12" ht="30" customHeight="1">
      <c r="A12" s="4" t="inlineStr">
        <is>
          <t>4. Set each row's Status (Pass / Fail / In progress / N-A). Compliance % per pillar is computed automatically below.</t>
        </is>
      </c>
    </row>
    <row r="13" ht="30" customHeight="1">
      <c r="A13" s="4" t="inlineStr">
        <is>
          <t>5. Targets: 100% on Spam Red Lines · ≥90% overall · no pillar below 80%. Fix Fail items before chasing new content.</t>
        </is>
      </c>
    </row>
    <row r="15">
      <c r="A15" s="3" t="inlineStr">
        <is>
          <t>Scoring</t>
        </is>
      </c>
    </row>
    <row r="16" ht="36" customHeight="1">
      <c r="A16" s="4" t="inlineStr">
        <is>
          <t>Compliance % = Pass ÷ (Total − N/A). 'N/A' is for genuinely inapplicable items only (e.g. hreflang on a single-language site) — never for 'too hard'. The per-pillar table below pulls live from the Master Checklist sheet.</t>
        </is>
      </c>
    </row>
    <row r="17"/>
    <row r="19">
      <c r="A19" s="5" t="inlineStr">
        <is>
          <t>Pillar</t>
        </is>
      </c>
      <c r="B19" s="5" t="inlineStr">
        <is>
          <t>Total items</t>
        </is>
      </c>
      <c r="C19" s="5" t="inlineStr">
        <is>
          <t>Passed</t>
        </is>
      </c>
      <c r="D19" s="5" t="inlineStr">
        <is>
          <t>N/A</t>
        </is>
      </c>
      <c r="E19" s="5" t="inlineStr">
        <is>
          <t>Compliance %</t>
        </is>
      </c>
    </row>
    <row r="20">
      <c r="A20" s="6" t="inlineStr">
        <is>
          <t>1 · Crawl &amp; discovery</t>
        </is>
      </c>
      <c r="B20" s="7">
        <f>COUNTIF('Master checklist'!$B$2:$B$81,A20)</f>
        <v/>
      </c>
      <c r="C20" s="7">
        <f>COUNTIFS('Master checklist'!$B$2:$B$81,A20,'Master checklist'!$G$2:$G$81,"Pass")</f>
        <v/>
      </c>
      <c r="D20" s="7">
        <f>COUNTIFS('Master checklist'!$B$2:$B$81,A20,'Master checklist'!$G$2:$G$81,"N/A")</f>
        <v/>
      </c>
      <c r="E20" s="8">
        <f>IF((B20-D20)=0,"—",C20/(B20-D20))</f>
        <v/>
      </c>
    </row>
    <row r="21">
      <c r="A21" s="9" t="inlineStr">
        <is>
          <t>2 · Indexing &amp; technical setup</t>
        </is>
      </c>
      <c r="B21" s="10">
        <f>COUNTIF('Master checklist'!$B$2:$B$81,A21)</f>
        <v/>
      </c>
      <c r="C21" s="10">
        <f>COUNTIFS('Master checklist'!$B$2:$B$81,A21,'Master checklist'!$G$2:$G$81,"Pass")</f>
        <v/>
      </c>
      <c r="D21" s="10">
        <f>COUNTIFS('Master checklist'!$B$2:$B$81,A21,'Master checklist'!$G$2:$G$81,"N/A")</f>
        <v/>
      </c>
      <c r="E21" s="11">
        <f>IF((B21-D21)=0,"—",C21/(B21-D21))</f>
        <v/>
      </c>
    </row>
    <row r="22">
      <c r="A22" s="6" t="inlineStr">
        <is>
          <t>3 · Search intent &amp; relevance</t>
        </is>
      </c>
      <c r="B22" s="7">
        <f>COUNTIF('Master checklist'!$B$2:$B$81,A22)</f>
        <v/>
      </c>
      <c r="C22" s="7">
        <f>COUNTIFS('Master checklist'!$B$2:$B$81,A22,'Master checklist'!$G$2:$G$81,"Pass")</f>
        <v/>
      </c>
      <c r="D22" s="7">
        <f>COUNTIFS('Master checklist'!$B$2:$B$81,A22,'Master checklist'!$G$2:$G$81,"N/A")</f>
        <v/>
      </c>
      <c r="E22" s="8">
        <f>IF((B22-D22)=0,"—",C22/(B22-D22))</f>
        <v/>
      </c>
    </row>
    <row r="23">
      <c r="A23" s="9" t="inlineStr">
        <is>
          <t>4 · Content quality &amp; E-E-A-T</t>
        </is>
      </c>
      <c r="B23" s="10">
        <f>COUNTIF('Master checklist'!$B$2:$B$81,A23)</f>
        <v/>
      </c>
      <c r="C23" s="10">
        <f>COUNTIFS('Master checklist'!$B$2:$B$81,A23,'Master checklist'!$G$2:$G$81,"Pass")</f>
        <v/>
      </c>
      <c r="D23" s="10">
        <f>COUNTIFS('Master checklist'!$B$2:$B$81,A23,'Master checklist'!$G$2:$G$81,"N/A")</f>
        <v/>
      </c>
      <c r="E23" s="11">
        <f>IF((B23-D23)=0,"—",C23/(B23-D23))</f>
        <v/>
      </c>
    </row>
    <row r="24">
      <c r="A24" s="6" t="inlineStr">
        <is>
          <t>5 · Page experience &amp; usability</t>
        </is>
      </c>
      <c r="B24" s="7">
        <f>COUNTIF('Master checklist'!$B$2:$B$81,A24)</f>
        <v/>
      </c>
      <c r="C24" s="7">
        <f>COUNTIFS('Master checklist'!$B$2:$B$81,A24,'Master checklist'!$G$2:$G$81,"Pass")</f>
        <v/>
      </c>
      <c r="D24" s="7">
        <f>COUNTIFS('Master checklist'!$B$2:$B$81,A24,'Master checklist'!$G$2:$G$81,"N/A")</f>
        <v/>
      </c>
      <c r="E24" s="8">
        <f>IF((B24-D24)=0,"—",C24/(B24-D24))</f>
        <v/>
      </c>
    </row>
    <row r="25">
      <c r="A25" s="9" t="inlineStr">
        <is>
          <t>6 · Authority, links &amp; reputation</t>
        </is>
      </c>
      <c r="B25" s="10">
        <f>COUNTIF('Master checklist'!$B$2:$B$81,A25)</f>
        <v/>
      </c>
      <c r="C25" s="10">
        <f>COUNTIFS('Master checklist'!$B$2:$B$81,A25,'Master checklist'!$G$2:$G$81,"Pass")</f>
        <v/>
      </c>
      <c r="D25" s="10">
        <f>COUNTIFS('Master checklist'!$B$2:$B$81,A25,'Master checklist'!$G$2:$G$81,"N/A")</f>
        <v/>
      </c>
      <c r="E25" s="11">
        <f>IF((B25-D25)=0,"—",C25/(B25-D25))</f>
        <v/>
      </c>
    </row>
    <row r="26">
      <c r="A26" s="6" t="inlineStr">
        <is>
          <t>7 · Spam-policy &amp; safety compliance</t>
        </is>
      </c>
      <c r="B26" s="7">
        <f>COUNTIF('Master checklist'!$B$2:$B$81,A26)</f>
        <v/>
      </c>
      <c r="C26" s="7">
        <f>COUNTIFS('Master checklist'!$B$2:$B$81,A26,'Master checklist'!$G$2:$G$81,"Pass")</f>
        <v/>
      </c>
      <c r="D26" s="7">
        <f>COUNTIFS('Master checklist'!$B$2:$B$81,A26,'Master checklist'!$G$2:$G$81,"N/A")</f>
        <v/>
      </c>
      <c r="E26" s="8">
        <f>IF((B26-D26)=0,"—",C26/(B26-D26))</f>
        <v/>
      </c>
    </row>
    <row r="27">
      <c r="A27" s="9" t="inlineStr">
        <is>
          <t>8 · Localization, SERP features &amp; brand</t>
        </is>
      </c>
      <c r="B27" s="10">
        <f>COUNTIF('Master checklist'!$B$2:$B$81,A27)</f>
        <v/>
      </c>
      <c r="C27" s="10">
        <f>COUNTIFS('Master checklist'!$B$2:$B$81,A27,'Master checklist'!$G$2:$G$81,"Pass")</f>
        <v/>
      </c>
      <c r="D27" s="10">
        <f>COUNTIFS('Master checklist'!$B$2:$B$81,A27,'Master checklist'!$G$2:$G$81,"N/A")</f>
        <v/>
      </c>
      <c r="E27" s="11">
        <f>IF((B27-D27)=0,"—",C27/(B27-D27))</f>
        <v/>
      </c>
    </row>
    <row r="28">
      <c r="A28" s="6" t="inlineStr">
        <is>
          <t>9 · Monitoring &amp; iteration</t>
        </is>
      </c>
      <c r="B28" s="7">
        <f>COUNTIF('Master checklist'!$B$2:$B$81,A28)</f>
        <v/>
      </c>
      <c r="C28" s="7">
        <f>COUNTIFS('Master checklist'!$B$2:$B$81,A28,'Master checklist'!$G$2:$G$81,"Pass")</f>
        <v/>
      </c>
      <c r="D28" s="7">
        <f>COUNTIFS('Master checklist'!$B$2:$B$81,A28,'Master checklist'!$G$2:$G$81,"N/A")</f>
        <v/>
      </c>
      <c r="E28" s="8">
        <f>IF((B28-D28)=0,"—",C28/(B28-D28))</f>
        <v/>
      </c>
    </row>
    <row r="29">
      <c r="A29" s="12" t="inlineStr">
        <is>
          <t>TOTAL</t>
        </is>
      </c>
      <c r="B29" s="12" t="n"/>
      <c r="C29" s="12" t="n"/>
      <c r="D29" s="12" t="n"/>
      <c r="E29" s="13" t="n"/>
    </row>
    <row r="31">
      <c r="A31" s="3" t="inlineStr">
        <is>
          <t>Source documents (every checklist item cites one of these)</t>
        </is>
      </c>
    </row>
    <row r="32" ht="28" customHeight="1">
      <c r="A32" s="14" t="inlineStr">
        <is>
          <t>• How Search Works — crawling, indexing &amp; serving (the 3 stages)
  https://developers.google.com/search/docs/fundamentals/how-search-works</t>
        </is>
      </c>
    </row>
    <row r="33" ht="28" customHeight="1">
      <c r="A33" s="14" t="inlineStr">
        <is>
          <t>• How Search Works — how ranking results are determined (the 5 factors)
  https://www.google.com/intl/en_us/search/howsearchworks/how-search-works/ranking-results/</t>
        </is>
      </c>
    </row>
    <row r="34" ht="28" customHeight="1">
      <c r="A34" s="14" t="inlineStr">
        <is>
          <t>• Guide to Google Search ranking systems
  https://developers.google.com/search/docs/appearance/ranking-systems-guide</t>
        </is>
      </c>
    </row>
    <row r="35" ht="28" customHeight="1">
      <c r="A35" s="14" t="inlineStr">
        <is>
          <t>• Spam policies for Google web search
  https://developers.google.com/search/docs/essentials/spam-policies</t>
        </is>
      </c>
    </row>
    <row r="36" ht="28" customHeight="1">
      <c r="A36" s="14" t="inlineStr">
        <is>
          <t>• Creating helpful, reliable, people-first content (+ E-E-A-T, Who/How/Why)
  https://developers.google.com/search/docs/fundamentals/creating-helpful-content</t>
        </is>
      </c>
    </row>
    <row r="37" ht="28" customHeight="1">
      <c r="A37" s="14" t="inlineStr">
        <is>
          <t>• Understanding page experience in Google Search results
  https://developers.google.com/search/docs/appearance/page-experience</t>
        </is>
      </c>
    </row>
  </sheetData>
  <mergeCells count="19">
    <mergeCell ref="A37:F37"/>
    <mergeCell ref="A12:F12"/>
    <mergeCell ref="A2:F2"/>
    <mergeCell ref="A33:F33"/>
    <mergeCell ref="A32:F32"/>
    <mergeCell ref="A8:F8"/>
    <mergeCell ref="A35:F35"/>
    <mergeCell ref="A4:F4"/>
    <mergeCell ref="A5:F7"/>
    <mergeCell ref="A10:F10"/>
    <mergeCell ref="A16:F17"/>
    <mergeCell ref="A13:F13"/>
    <mergeCell ref="A9:F9"/>
    <mergeCell ref="A31:F31"/>
    <mergeCell ref="A34:F34"/>
    <mergeCell ref="A15:F15"/>
    <mergeCell ref="A11:F11"/>
    <mergeCell ref="A36:F36"/>
    <mergeCell ref="A1:F1"/>
  </mergeCell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H81"/>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52" customWidth="1" min="3" max="3"/>
    <col width="58" customWidth="1" min="4" max="4"/>
    <col width="11" customWidth="1" min="5" max="5"/>
    <col width="22" customWidth="1" min="6" max="6"/>
    <col width="14" customWidth="1" min="7" max="7"/>
    <col width="30" customWidth="1" min="8" max="8"/>
  </cols>
  <sheetData>
    <row r="1">
      <c r="A1" s="5" t="inlineStr">
        <is>
          <t>ID</t>
        </is>
      </c>
      <c r="B1" s="5" t="inlineStr">
        <is>
          <t>Pillar</t>
        </is>
      </c>
      <c r="C1" s="5" t="inlineStr">
        <is>
          <t>Checklist item</t>
        </is>
      </c>
      <c r="D1" s="5" t="inlineStr">
        <is>
          <t>What 'done' looks like</t>
        </is>
      </c>
      <c r="E1" s="5" t="inlineStr">
        <is>
          <t>Owner</t>
        </is>
      </c>
      <c r="F1" s="5" t="inlineStr">
        <is>
          <t>Google source</t>
        </is>
      </c>
      <c r="G1" s="5" t="inlineStr">
        <is>
          <t>Status</t>
        </is>
      </c>
      <c r="H1" s="5" t="inlineStr">
        <is>
          <t>Evidence / notes</t>
        </is>
      </c>
    </row>
    <row r="2" ht="42" customHeight="1">
      <c r="A2" s="15" t="inlineStr">
        <is>
          <t>C1</t>
        </is>
      </c>
      <c r="B2" s="15" t="inlineStr">
        <is>
          <t>1 · Crawl &amp; discovery</t>
        </is>
      </c>
      <c r="C2" s="15" t="inlineStr">
        <is>
          <t>XML sitemap covers every indexable URL and is submitted in Search Console</t>
        </is>
      </c>
      <c r="D2" s="15" t="inlineStr">
        <is>
          <t>Sitemap auto-updates on publish/edit; submitted in GSC; returns 200; &lt;50k URLs / 50MB per file</t>
        </is>
      </c>
      <c r="E2" s="15" t="inlineStr">
        <is>
          <t>Dev</t>
        </is>
      </c>
      <c r="F2" s="15" t="inlineStr">
        <is>
          <t>HSW-CRAWL</t>
        </is>
      </c>
      <c r="G2" s="6" t="inlineStr"/>
      <c r="H2" s="6" t="inlineStr"/>
    </row>
    <row r="3" ht="42" customHeight="1">
      <c r="A3" s="15" t="inlineStr">
        <is>
          <t>C2</t>
        </is>
      </c>
      <c r="B3" s="15" t="inlineStr">
        <is>
          <t>1 · Crawl &amp; discovery</t>
        </is>
      </c>
      <c r="C3" s="15" t="inlineStr">
        <is>
          <t>Every important page is reachable via internal links from hub/category pages — no orphans</t>
        </is>
      </c>
      <c r="D3" s="15" t="inlineStr">
        <is>
          <t>Priority pages within 3 clicks of homepage; orphan-page report shows zero money pages</t>
        </is>
      </c>
      <c r="E3" s="15" t="inlineStr">
        <is>
          <t>SEO Lead</t>
        </is>
      </c>
      <c r="F3" s="15" t="inlineStr">
        <is>
          <t>HSW-CRAWL</t>
        </is>
      </c>
      <c r="G3" s="6" t="inlineStr"/>
      <c r="H3" s="6" t="inlineStr"/>
    </row>
    <row r="4" ht="42" customHeight="1">
      <c r="A4" s="15" t="inlineStr">
        <is>
          <t>C3</t>
        </is>
      </c>
      <c r="B4" s="15" t="inlineStr">
        <is>
          <t>1 · Crawl &amp; discovery</t>
        </is>
      </c>
      <c r="C4" s="15" t="inlineStr">
        <is>
          <t>robots.txt allows Googlebot on all index-worthy pages AND the CSS/JS/images needed to render them</t>
        </is>
      </c>
      <c r="D4" s="15" t="inlineStr">
        <is>
          <t>Fetch as Google / URL Inspection shows full render; no Disallow on asset folders</t>
        </is>
      </c>
      <c r="E4" s="15" t="inlineStr">
        <is>
          <t>Dev</t>
        </is>
      </c>
      <c r="F4" s="15" t="inlineStr">
        <is>
          <t>HSW-CRAWL</t>
        </is>
      </c>
      <c r="G4" s="6" t="inlineStr"/>
      <c r="H4" s="6" t="inlineStr"/>
    </row>
    <row r="5" ht="42" customHeight="1">
      <c r="A5" s="15" t="inlineStr">
        <is>
          <t>C4</t>
        </is>
      </c>
      <c r="B5" s="15" t="inlineStr">
        <is>
          <t>1 · Crawl &amp; discovery</t>
        </is>
      </c>
      <c r="C5" s="15" t="inlineStr">
        <is>
          <t>Main content is accessible without login and without heavy user interaction</t>
        </is>
      </c>
      <c r="D5" s="15" t="inlineStr">
        <is>
          <t>Anonymous visit shows full article/tool; paywalled content follows Flexible Sampling rules</t>
        </is>
      </c>
      <c r="E5" s="15" t="inlineStr">
        <is>
          <t>Dev</t>
        </is>
      </c>
      <c r="F5" s="15" t="inlineStr">
        <is>
          <t>HSW-CRAWL</t>
        </is>
      </c>
      <c r="G5" s="6" t="inlineStr"/>
      <c r="H5" s="6" t="inlineStr"/>
    </row>
    <row r="6" ht="42" customHeight="1">
      <c r="A6" s="15" t="inlineStr">
        <is>
          <t>C5</t>
        </is>
      </c>
      <c r="B6" s="15" t="inlineStr">
        <is>
          <t>1 · Crawl &amp; discovery</t>
        </is>
      </c>
      <c r="C6" s="15" t="inlineStr">
        <is>
          <t>Server is fast and stable — no recurring 5xx errors, timeouts, or DNS failures</t>
        </is>
      </c>
      <c r="D6" s="15" t="inlineStr">
        <is>
          <t>GSC crawl stats show &lt;1% server errors; TTFB healthy; uptime monitoring in place</t>
        </is>
      </c>
      <c r="E6" s="15" t="inlineStr">
        <is>
          <t>Dev</t>
        </is>
      </c>
      <c r="F6" s="15" t="inlineStr">
        <is>
          <t>HSW-CRAWL</t>
        </is>
      </c>
      <c r="G6" s="6" t="inlineStr"/>
      <c r="H6" s="6" t="inlineStr"/>
    </row>
    <row r="7" ht="42" customHeight="1">
      <c r="A7" s="15" t="inlineStr">
        <is>
          <t>C6</t>
        </is>
      </c>
      <c r="B7" s="15" t="inlineStr">
        <is>
          <t>1 · Crawl &amp; discovery</t>
        </is>
      </c>
      <c r="C7" s="15" t="inlineStr">
        <is>
          <t>Critical content is visible in the rendered HTML (post-JavaScript)</t>
        </is>
      </c>
      <c r="D7" s="15" t="inlineStr">
        <is>
          <t>URL Inspection 'View tested page' shows headings, body text, links; no content that only appears after clicks</t>
        </is>
      </c>
      <c r="E7" s="15" t="inlineStr">
        <is>
          <t>Dev</t>
        </is>
      </c>
      <c r="F7" s="15" t="inlineStr">
        <is>
          <t>HSW-CRAWL</t>
        </is>
      </c>
      <c r="G7" s="6" t="inlineStr"/>
      <c r="H7" s="6" t="inlineStr"/>
    </row>
    <row r="8" ht="42" customHeight="1">
      <c r="A8" s="15" t="inlineStr">
        <is>
          <t>C7</t>
        </is>
      </c>
      <c r="B8" s="15" t="inlineStr">
        <is>
          <t>1 · Crawl &amp; discovery</t>
        </is>
      </c>
      <c r="C8" s="15" t="inlineStr">
        <is>
          <t>Crawl budget protected on large sites: parameter/filter/pagination URLs controlled</t>
        </is>
      </c>
      <c r="D8" s="15" t="inlineStr">
        <is>
          <t>Faceted URLs canonicalized or blocked; no infinite calendar/search-result crawl traps</t>
        </is>
      </c>
      <c r="E8" s="15" t="inlineStr">
        <is>
          <t>SEO Lead</t>
        </is>
      </c>
      <c r="F8" s="15" t="inlineStr">
        <is>
          <t>HSW-CRAWL</t>
        </is>
      </c>
      <c r="G8" s="6" t="inlineStr"/>
      <c r="H8" s="6" t="inlineStr"/>
    </row>
    <row r="9" ht="42" customHeight="1">
      <c r="A9" s="16" t="inlineStr">
        <is>
          <t>I1</t>
        </is>
      </c>
      <c r="B9" s="16" t="inlineStr">
        <is>
          <t>2 · Indexing &amp; technical setup</t>
        </is>
      </c>
      <c r="C9" s="16" t="inlineStr">
        <is>
          <t>Noindex / nofollow / x-robots headers exist ONLY where intended</t>
        </is>
      </c>
      <c r="D9" s="16" t="inlineStr">
        <is>
          <t>Quarterly audit: money pages return index,follow; staging/dev fully blocked</t>
        </is>
      </c>
      <c r="E9" s="16" t="inlineStr">
        <is>
          <t>SEO Lead</t>
        </is>
      </c>
      <c r="F9" s="16" t="inlineStr">
        <is>
          <t>HSW-INDEX</t>
        </is>
      </c>
      <c r="G9" s="6" t="inlineStr"/>
      <c r="H9" s="6" t="inlineStr"/>
    </row>
    <row r="10" ht="42" customHeight="1">
      <c r="A10" s="16" t="inlineStr">
        <is>
          <t>I2</t>
        </is>
      </c>
      <c r="B10" s="16" t="inlineStr">
        <is>
          <t>2 · Indexing &amp; technical setup</t>
        </is>
      </c>
      <c r="C10" s="16" t="inlineStr">
        <is>
          <t>Every indexable page has a self-referencing absolute canonical tag</t>
        </is>
      </c>
      <c r="D10" s="16" t="inlineStr">
        <is>
          <t>Canonical = final 200 URL; no canonical chains; GSC shows 'user-declared canonical' honored</t>
        </is>
      </c>
      <c r="E10" s="16" t="inlineStr">
        <is>
          <t>Dev</t>
        </is>
      </c>
      <c r="F10" s="16" t="inlineStr">
        <is>
          <t>HSW-INDEX</t>
        </is>
      </c>
      <c r="G10" s="6" t="inlineStr"/>
      <c r="H10" s="6" t="inlineStr"/>
    </row>
    <row r="11" ht="42" customHeight="1">
      <c r="A11" s="16" t="inlineStr">
        <is>
          <t>I3</t>
        </is>
      </c>
      <c r="B11" s="16" t="inlineStr">
        <is>
          <t>2 · Indexing &amp; technical setup</t>
        </is>
      </c>
      <c r="C11" s="16" t="inlineStr">
        <is>
          <t>Near-duplicate pages consolidated — one strong page per intent, not several thin variants</t>
        </is>
      </c>
      <c r="D11" s="16" t="inlineStr">
        <is>
          <t>Duplicate clusters merged with 301s; GSC duplicate-without-canonical warnings resolved</t>
        </is>
      </c>
      <c r="E11" s="16" t="inlineStr">
        <is>
          <t>SEO Lead</t>
        </is>
      </c>
      <c r="F11" s="16" t="inlineStr">
        <is>
          <t>HSW-INDEX</t>
        </is>
      </c>
      <c r="G11" s="6" t="inlineStr"/>
      <c r="H11" s="6" t="inlineStr"/>
    </row>
    <row r="12" ht="42" customHeight="1">
      <c r="A12" s="16" t="inlineStr">
        <is>
          <t>I4</t>
        </is>
      </c>
      <c r="B12" s="16" t="inlineStr">
        <is>
          <t>2 · Indexing &amp; technical setup</t>
        </is>
      </c>
      <c r="C12" s="16" t="inlineStr">
        <is>
          <t>Unique, descriptive &lt;title&gt; per page; unique meta description written for CTR</t>
        </is>
      </c>
      <c r="D12" s="16" t="inlineStr">
        <is>
          <t>Titles keyword-forward, no duplication sitewide; descriptions read like ad copy, not keyword lists</t>
        </is>
      </c>
      <c r="E12" s="16" t="inlineStr">
        <is>
          <t>Content</t>
        </is>
      </c>
      <c r="F12" s="16" t="inlineStr">
        <is>
          <t>HSW-INDEX · HELPFUL</t>
        </is>
      </c>
      <c r="G12" s="6" t="inlineStr"/>
      <c r="H12" s="6" t="inlineStr"/>
    </row>
    <row r="13" ht="42" customHeight="1">
      <c r="A13" s="16" t="inlineStr">
        <is>
          <t>I5</t>
        </is>
      </c>
      <c r="B13" s="16" t="inlineStr">
        <is>
          <t>2 · Indexing &amp; technical setup</t>
        </is>
      </c>
      <c r="C13" s="16" t="inlineStr">
        <is>
          <t>Language declared correctly (lang attribute); hreflang correct on multi-language/region sites</t>
        </is>
      </c>
      <c r="D13" s="16" t="inlineStr">
        <is>
          <t>hreflang self-referencing + reciprocal; x-default set; no return-tag errors in GSC</t>
        </is>
      </c>
      <c r="E13" s="16" t="inlineStr">
        <is>
          <t>Dev</t>
        </is>
      </c>
      <c r="F13" s="16" t="inlineStr">
        <is>
          <t>HSW-INDEX</t>
        </is>
      </c>
      <c r="G13" s="6" t="inlineStr"/>
      <c r="H13" s="6" t="inlineStr"/>
    </row>
    <row r="14" ht="42" customHeight="1">
      <c r="A14" s="16" t="inlineStr">
        <is>
          <t>I6</t>
        </is>
      </c>
      <c r="B14" s="16" t="inlineStr">
        <is>
          <t>2 · Indexing &amp; technical setup</t>
        </is>
      </c>
      <c r="C14" s="16" t="inlineStr">
        <is>
          <t>Images have descriptive filenames + meaningful alt text; video uses indexable markup</t>
        </is>
      </c>
      <c r="D14" s="16" t="inlineStr">
        <is>
          <t>Alt describes the image for a blind user; files compressed (WebP/AVIF); video sitemap where relevant</t>
        </is>
      </c>
      <c r="E14" s="16" t="inlineStr">
        <is>
          <t>Content</t>
        </is>
      </c>
      <c r="F14" s="16" t="inlineStr">
        <is>
          <t>HSW-INDEX</t>
        </is>
      </c>
      <c r="G14" s="6" t="inlineStr"/>
      <c r="H14" s="6" t="inlineStr"/>
    </row>
    <row r="15" ht="42" customHeight="1">
      <c r="A15" s="16" t="inlineStr">
        <is>
          <t>I7</t>
        </is>
      </c>
      <c r="B15" s="16" t="inlineStr">
        <is>
          <t>2 · Indexing &amp; technical setup</t>
        </is>
      </c>
      <c r="C15" s="16" t="inlineStr">
        <is>
          <t>Mobile and desktop versions show the same main content</t>
        </is>
      </c>
      <c r="D15" s="16" t="inlineStr">
        <is>
          <t>Spot-check top templates: text, images, structured data identical across breakpoints</t>
        </is>
      </c>
      <c r="E15" s="16" t="inlineStr">
        <is>
          <t>Dev</t>
        </is>
      </c>
      <c r="F15" s="16" t="inlineStr">
        <is>
          <t>HSW-INDEX</t>
        </is>
      </c>
      <c r="G15" s="6" t="inlineStr"/>
      <c r="H15" s="6" t="inlineStr"/>
    </row>
    <row r="16" ht="42" customHeight="1">
      <c r="A16" s="16" t="inlineStr">
        <is>
          <t>I8</t>
        </is>
      </c>
      <c r="B16" s="16" t="inlineStr">
        <is>
          <t>2 · Indexing &amp; technical setup</t>
        </is>
      </c>
      <c r="C16" s="16" t="inlineStr">
        <is>
          <t>Thin/zero-value pages (empty tags, thin archives, auto stubs) noindexed or improved</t>
        </is>
      </c>
      <c r="D16" s="16" t="inlineStr">
        <is>
          <t>No indexed page with &lt;200 useful words and no unique value; GSC 'Crawled - currently not indexed' reviewed</t>
        </is>
      </c>
      <c r="E16" s="16" t="inlineStr">
        <is>
          <t>SEO Lead</t>
        </is>
      </c>
      <c r="F16" s="16" t="inlineStr">
        <is>
          <t>HSW-INDEX</t>
        </is>
      </c>
      <c r="G16" s="6" t="inlineStr"/>
      <c r="H16" s="6" t="inlineStr"/>
    </row>
    <row r="17" ht="42" customHeight="1">
      <c r="A17" s="17" t="inlineStr">
        <is>
          <t>R1</t>
        </is>
      </c>
      <c r="B17" s="17" t="inlineStr">
        <is>
          <t>3 · Search intent &amp; relevance</t>
        </is>
      </c>
      <c r="C17" s="17" t="inlineStr">
        <is>
          <t>Each page targets ONE primary search intent, defined before writing</t>
        </is>
      </c>
      <c r="D17" s="17" t="inlineStr">
        <is>
          <t>Brief states intent type (informational/commercial/transactional/navigational) and the job-to-be-done</t>
        </is>
      </c>
      <c r="E17" s="17" t="inlineStr">
        <is>
          <t>Content</t>
        </is>
      </c>
      <c r="F17" s="17" t="inlineStr">
        <is>
          <t>HSW-RANK</t>
        </is>
      </c>
      <c r="G17" s="6" t="inlineStr"/>
      <c r="H17" s="6" t="inlineStr"/>
    </row>
    <row r="18" ht="42" customHeight="1">
      <c r="A18" s="17" t="inlineStr">
        <is>
          <t>R2</t>
        </is>
      </c>
      <c r="B18" s="17" t="inlineStr">
        <is>
          <t>3 · Search intent &amp; relevance</t>
        </is>
      </c>
      <c r="C18" s="17" t="inlineStr">
        <is>
          <t>Target keyword + natural synonyms/variants in title, H1, intro, headings, body</t>
        </is>
      </c>
      <c r="D18" s="17" t="inlineStr">
        <is>
          <t>Reads naturally aloud; covers concept variants (BERT/RankBrain match concepts, not just strings)</t>
        </is>
      </c>
      <c r="E18" s="17" t="inlineStr">
        <is>
          <t>Content</t>
        </is>
      </c>
      <c r="F18" s="17" t="inlineStr">
        <is>
          <t>HSW-RANK · RANK-SYS</t>
        </is>
      </c>
      <c r="G18" s="6" t="inlineStr"/>
      <c r="H18" s="6" t="inlineStr"/>
    </row>
    <row r="19" ht="42" customHeight="1">
      <c r="A19" s="17" t="inlineStr">
        <is>
          <t>R3</t>
        </is>
      </c>
      <c r="B19" s="17" t="inlineStr">
        <is>
          <t>3 · Search intent &amp; relevance</t>
        </is>
      </c>
      <c r="C19" s="17" t="inlineStr">
        <is>
          <t>Content fully satisfies the query — reader should not need to search again</t>
        </is>
      </c>
      <c r="D19" s="17" t="inlineStr">
        <is>
          <t>Answers the question completely + obvious follow-ups; 'satisfying experience' test passes</t>
        </is>
      </c>
      <c r="E19" s="17" t="inlineStr">
        <is>
          <t>Content</t>
        </is>
      </c>
      <c r="F19" s="17" t="inlineStr">
        <is>
          <t>HELPFUL</t>
        </is>
      </c>
      <c r="G19" s="6" t="inlineStr"/>
      <c r="H19" s="6" t="inlineStr"/>
    </row>
    <row r="20" ht="42" customHeight="1">
      <c r="A20" s="17" t="inlineStr">
        <is>
          <t>R4</t>
        </is>
      </c>
      <c r="B20" s="17" t="inlineStr">
        <is>
          <t>3 · Search intent &amp; relevance</t>
        </is>
      </c>
      <c r="C20" s="17" t="inlineStr">
        <is>
          <t>Page structure matches the intent (definitions up top for 'what is'; steps for 'how to'; tables for 'vs/best')</t>
        </is>
      </c>
      <c r="D20" s="17" t="inlineStr">
        <is>
          <t>H2/H3 outline mirrors the top-ranking intent pattern, then beats it</t>
        </is>
      </c>
      <c r="E20" s="17" t="inlineStr">
        <is>
          <t>Content</t>
        </is>
      </c>
      <c r="F20" s="17" t="inlineStr">
        <is>
          <t>RANK-SYS (passage ranking)</t>
        </is>
      </c>
      <c r="G20" s="6" t="inlineStr"/>
      <c r="H20" s="6" t="inlineStr"/>
    </row>
    <row r="21" ht="42" customHeight="1">
      <c r="A21" s="17" t="inlineStr">
        <is>
          <t>R5</t>
        </is>
      </c>
      <c r="B21" s="17" t="inlineStr">
        <is>
          <t>3 · Search intent &amp; relevance</t>
        </is>
      </c>
      <c r="C21" s="17" t="inlineStr">
        <is>
          <t>Freshness handled honestly: time-sensitive topics show genuine update dates and refreshed substance</t>
        </is>
      </c>
      <c r="D21" s="17" t="inlineStr">
        <is>
          <t>Last-updated date = real content change; never fake a fresh date</t>
        </is>
      </c>
      <c r="E21" s="17" t="inlineStr">
        <is>
          <t>Content</t>
        </is>
      </c>
      <c r="F21" s="17" t="inlineStr">
        <is>
          <t>RANK-SYS (freshness) · HELPFUL</t>
        </is>
      </c>
      <c r="G21" s="6" t="inlineStr"/>
      <c r="H21" s="6" t="inlineStr"/>
    </row>
    <row r="22" ht="42" customHeight="1">
      <c r="A22" s="17" t="inlineStr">
        <is>
          <t>R6</t>
        </is>
      </c>
      <c r="B22" s="17" t="inlineStr">
        <is>
          <t>3 · Search intent &amp; relevance</t>
        </is>
      </c>
      <c r="C22" s="17" t="inlineStr">
        <is>
          <t>Valid structured data for every eligible type (Article, FAQ, HowTo, Product/Review, SoftwareApplication)</t>
        </is>
      </c>
      <c r="D22" s="17" t="inlineStr">
        <is>
          <t>Rich Results Test passes with zero errors; markup matches visible page content</t>
        </is>
      </c>
      <c r="E22" s="17" t="inlineStr">
        <is>
          <t>Dev</t>
        </is>
      </c>
      <c r="F22" s="17" t="inlineStr">
        <is>
          <t>HSW-RANK</t>
        </is>
      </c>
      <c r="G22" s="6" t="inlineStr"/>
      <c r="H22" s="6" t="inlineStr"/>
    </row>
    <row r="23" ht="42" customHeight="1">
      <c r="A23" s="17" t="inlineStr">
        <is>
          <t>R7</t>
        </is>
      </c>
      <c r="B23" s="17" t="inlineStr">
        <is>
          <t>3 · Search intent &amp; relevance</t>
        </is>
      </c>
      <c r="C23" s="17" t="inlineStr">
        <is>
          <t>Clear H2/H3 subheadings answer sub-questions so individual passages can rank</t>
        </is>
      </c>
      <c r="D23" s="17" t="inlineStr">
        <is>
          <t>Each H2 could stand alone as a search answer; no vague headings like 'Introduction'</t>
        </is>
      </c>
      <c r="E23" s="17" t="inlineStr">
        <is>
          <t>Content</t>
        </is>
      </c>
      <c r="F23" s="17" t="inlineStr">
        <is>
          <t>RANK-SYS (passage ranking)</t>
        </is>
      </c>
      <c r="G23" s="6" t="inlineStr"/>
      <c r="H23" s="6" t="inlineStr"/>
    </row>
    <row r="24" ht="42" customHeight="1">
      <c r="A24" s="18" t="inlineStr">
        <is>
          <t>Q1</t>
        </is>
      </c>
      <c r="B24" s="18" t="inlineStr">
        <is>
          <t>4 · Content quality &amp; E-E-A-T</t>
        </is>
      </c>
      <c r="C24" s="18" t="inlineStr">
        <is>
          <t>Original information, reporting, research, or analysis — not a rewrite of ranking pages</t>
        </is>
      </c>
      <c r="D24" s="18" t="inlineStr">
        <is>
          <t>Page contains at least one thing competitors don't: data, test, angle, example, or insight</t>
        </is>
      </c>
      <c r="E24" s="18" t="inlineStr">
        <is>
          <t>Content</t>
        </is>
      </c>
      <c r="F24" s="18" t="inlineStr">
        <is>
          <t>HELPFUL · RANK-SYS (original content)</t>
        </is>
      </c>
      <c r="G24" s="6" t="inlineStr"/>
      <c r="H24" s="6" t="inlineStr"/>
    </row>
    <row r="25" ht="42" customHeight="1">
      <c r="A25" s="18" t="inlineStr">
        <is>
          <t>Q2</t>
        </is>
      </c>
      <c r="B25" s="18" t="inlineStr">
        <is>
          <t>4 · Content quality &amp; E-E-A-T</t>
        </is>
      </c>
      <c r="C25" s="18" t="inlineStr">
        <is>
          <t>Substantial, complete coverage — goes beyond the obvious with insightful analysis</t>
        </is>
      </c>
      <c r="D25" s="18" t="inlineStr">
        <is>
          <t>Beats the 'beyond the obvious' test: a knowledgeable reader learns something new</t>
        </is>
      </c>
      <c r="E25" s="18" t="inlineStr">
        <is>
          <t>Content</t>
        </is>
      </c>
      <c r="F25" s="18" t="inlineStr">
        <is>
          <t>HELPFUL</t>
        </is>
      </c>
      <c r="G25" s="6" t="inlineStr"/>
      <c r="H25" s="6" t="inlineStr"/>
    </row>
    <row r="26" ht="42" customHeight="1">
      <c r="A26" s="18" t="inlineStr">
        <is>
          <t>Q3</t>
        </is>
      </c>
      <c r="B26" s="18" t="inlineStr">
        <is>
          <t>4 · Content quality &amp; E-E-A-T</t>
        </is>
      </c>
      <c r="C26" s="18" t="inlineStr">
        <is>
          <t>First-hand experience demonstrated (real photos/screenshots, test results, data from actual use)</t>
        </is>
      </c>
      <c r="D26" s="18" t="inlineStr">
        <is>
          <t>Review/tool/how-to pages show evidence of doing it, not just describing it</t>
        </is>
      </c>
      <c r="E26" s="18" t="inlineStr">
        <is>
          <t>Content</t>
        </is>
      </c>
      <c r="F26" s="18" t="inlineStr">
        <is>
          <t>HELPFUL (E-E-A-T) · RANK-SYS (reviews)</t>
        </is>
      </c>
      <c r="G26" s="6" t="inlineStr"/>
      <c r="H26" s="6" t="inlineStr"/>
    </row>
    <row r="27" ht="42" customHeight="1">
      <c r="A27" s="18" t="inlineStr">
        <is>
          <t>Q4</t>
        </is>
      </c>
      <c r="B27" s="18" t="inlineStr">
        <is>
          <t>4 · Content quality &amp; E-E-A-T</t>
        </is>
      </c>
      <c r="C27" s="18" t="inlineStr">
        <is>
          <t>Clear authorship: byline on articles, author page with credentials, About page, contact info</t>
        </is>
      </c>
      <c r="D27" s="18" t="inlineStr">
        <is>
          <t>Every article links to a real author page; site has About + Contact</t>
        </is>
      </c>
      <c r="E27" s="18" t="inlineStr">
        <is>
          <t>Content</t>
        </is>
      </c>
      <c r="F27" s="18" t="inlineStr">
        <is>
          <t>HELPFUL (Who)</t>
        </is>
      </c>
      <c r="G27" s="6" t="inlineStr"/>
      <c r="H27" s="6" t="inlineStr"/>
    </row>
    <row r="28" ht="42" customHeight="1">
      <c r="A28" s="18" t="inlineStr">
        <is>
          <t>Q5</t>
        </is>
      </c>
      <c r="B28" s="18" t="inlineStr">
        <is>
          <t>4 · Content quality &amp; E-E-A-T</t>
        </is>
      </c>
      <c r="C28" s="18" t="inlineStr">
        <is>
          <t>No fabricated authorship — no fake names, AI headshots, or false credentials</t>
        </is>
      </c>
      <c r="D28" s="18" t="inlineStr">
        <is>
          <t>Author identities verifiable; stock/AI personas never presented as experts</t>
        </is>
      </c>
      <c r="E28" s="18" t="inlineStr">
        <is>
          <t>SEO Lead</t>
        </is>
      </c>
      <c r="F28" s="18" t="inlineStr">
        <is>
          <t>HELPFUL (Who)</t>
        </is>
      </c>
      <c r="G28" s="6" t="inlineStr"/>
      <c r="H28" s="6" t="inlineStr"/>
    </row>
    <row r="29" ht="42" customHeight="1">
      <c r="A29" s="18" t="inlineStr">
        <is>
          <t>Q6</t>
        </is>
      </c>
      <c r="B29" s="18" t="inlineStr">
        <is>
          <t>4 · Content quality &amp; E-E-A-T</t>
        </is>
      </c>
      <c r="C29" s="18" t="inlineStr">
        <is>
          <t>Facts verified; no easily-checkable errors. YMYL topics match expert consensus</t>
        </is>
      </c>
      <c r="D29" s="18" t="inlineStr">
        <is>
          <t>Claims cited to authoritative sources; health/finance/safety content reviewed by qualified person</t>
        </is>
      </c>
      <c r="E29" s="18" t="inlineStr">
        <is>
          <t>Content</t>
        </is>
      </c>
      <c r="F29" s="18" t="inlineStr">
        <is>
          <t>HELPFUL</t>
        </is>
      </c>
      <c r="G29" s="6" t="inlineStr"/>
      <c r="H29" s="6" t="inlineStr"/>
    </row>
    <row r="30" ht="42" customHeight="1">
      <c r="A30" s="18" t="inlineStr">
        <is>
          <t>Q7</t>
        </is>
      </c>
      <c r="B30" s="18" t="inlineStr">
        <is>
          <t>4 · Content quality &amp; E-E-A-T</t>
        </is>
      </c>
      <c r="C30" s="18" t="inlineStr">
        <is>
          <t>Title/heading honest and descriptive — no exaggeration, clickbait, or unkept promises</t>
        </is>
      </c>
      <c r="D30" s="18" t="inlineStr">
        <is>
          <t>Title matches page content exactly; no 'shocking' framing</t>
        </is>
      </c>
      <c r="E30" s="18" t="inlineStr">
        <is>
          <t>Content</t>
        </is>
      </c>
      <c r="F30" s="18" t="inlineStr">
        <is>
          <t>HELPFUL</t>
        </is>
      </c>
      <c r="G30" s="6" t="inlineStr"/>
      <c r="H30" s="6" t="inlineStr"/>
    </row>
    <row r="31" ht="42" customHeight="1">
      <c r="A31" s="18" t="inlineStr">
        <is>
          <t>Q8</t>
        </is>
      </c>
      <c r="B31" s="18" t="inlineStr">
        <is>
          <t>4 · Content quality &amp; E-E-A-T</t>
        </is>
      </c>
      <c r="C31" s="18" t="inlineStr">
        <is>
          <t>Passes the bookmark/share test: 'Is this the sort of page you'd share with a friend?'</t>
        </is>
      </c>
      <c r="D31" s="18" t="inlineStr">
        <is>
          <t>Editor answers yes with a straight face before publishing</t>
        </is>
      </c>
      <c r="E31" s="18" t="inlineStr">
        <is>
          <t>Content</t>
        </is>
      </c>
      <c r="F31" s="18" t="inlineStr">
        <is>
          <t>HELPFUL</t>
        </is>
      </c>
      <c r="G31" s="6" t="inlineStr"/>
      <c r="H31" s="6" t="inlineStr"/>
    </row>
    <row r="32" ht="42" customHeight="1">
      <c r="A32" s="18" t="inlineStr">
        <is>
          <t>Q9</t>
        </is>
      </c>
      <c r="B32" s="18" t="inlineStr">
        <is>
          <t>4 · Content quality &amp; E-E-A-T</t>
        </is>
      </c>
      <c r="C32" s="18" t="inlineStr">
        <is>
          <t>Substantial value vs. other results — the page earns its place on page 1</t>
        </is>
      </c>
      <c r="D32" s="18" t="inlineStr">
        <is>
          <t>Can state in one sentence why this page deserves to outrank the current top 3</t>
        </is>
      </c>
      <c r="E32" s="18" t="inlineStr">
        <is>
          <t>SEO Lead</t>
        </is>
      </c>
      <c r="F32" s="18" t="inlineStr">
        <is>
          <t>HELPFUL</t>
        </is>
      </c>
      <c r="G32" s="6" t="inlineStr"/>
      <c r="H32" s="6" t="inlineStr"/>
    </row>
    <row r="33" ht="42" customHeight="1">
      <c r="A33" s="18" t="inlineStr">
        <is>
          <t>Q10</t>
        </is>
      </c>
      <c r="B33" s="18" t="inlineStr">
        <is>
          <t>4 · Content quality &amp; E-E-A-T</t>
        </is>
      </c>
      <c r="C33" s="18" t="inlineStr">
        <is>
          <t>Clean production: no spelling/grammar/stylistic sloppiness; doesn't look hastily made</t>
        </is>
      </c>
      <c r="D33" s="18" t="inlineStr">
        <is>
          <t>Proofread + copy-edited; formatting consistent</t>
        </is>
      </c>
      <c r="E33" s="18" t="inlineStr">
        <is>
          <t>Content</t>
        </is>
      </c>
      <c r="F33" s="18" t="inlineStr">
        <is>
          <t>HELPFUL</t>
        </is>
      </c>
      <c r="G33" s="6" t="inlineStr"/>
      <c r="H33" s="6" t="inlineStr"/>
    </row>
    <row r="34" ht="42" customHeight="1">
      <c r="A34" s="18" t="inlineStr">
        <is>
          <t>Q11</t>
        </is>
      </c>
      <c r="B34" s="18" t="inlineStr">
        <is>
          <t>4 · Content quality &amp; E-E-A-T</t>
        </is>
      </c>
      <c r="C34" s="18" t="inlineStr">
        <is>
          <t>No mass-produced low-attention content across the site or network</t>
        </is>
      </c>
      <c r="D34" s="18" t="inlineStr">
        <is>
          <t>Every published page got real editorial attention; no thin page farms</t>
        </is>
      </c>
      <c r="E34" s="18" t="inlineStr">
        <is>
          <t>SEO Lead</t>
        </is>
      </c>
      <c r="F34" s="18" t="inlineStr">
        <is>
          <t>HELPFUL · SPAM (scaled abuse)</t>
        </is>
      </c>
      <c r="G34" s="6" t="inlineStr"/>
      <c r="H34" s="6" t="inlineStr"/>
    </row>
    <row r="35" ht="42" customHeight="1">
      <c r="A35" s="18" t="inlineStr">
        <is>
          <t>Q12</t>
        </is>
      </c>
      <c r="B35" s="18" t="inlineStr">
        <is>
          <t>4 · Content quality &amp; E-E-A-T</t>
        </is>
      </c>
      <c r="C35" s="18" t="inlineStr">
        <is>
          <t>AI-assisted content is human-reviewed, fact-checked, edited — AI use disclosed where readers would ask 'how was this made?'</t>
        </is>
      </c>
      <c r="D35" s="18" t="inlineStr">
        <is>
          <t>Reviewer initials + date on AI-assisted pieces; disclosure note where appropriate</t>
        </is>
      </c>
      <c r="E35" s="18" t="inlineStr">
        <is>
          <t>Content</t>
        </is>
      </c>
      <c r="F35" s="18" t="inlineStr">
        <is>
          <t>HELPFUL (How/Why)</t>
        </is>
      </c>
      <c r="G35" s="6" t="inlineStr"/>
      <c r="H35" s="6" t="inlineStr"/>
    </row>
    <row r="36" ht="42" customHeight="1">
      <c r="A36" s="18" t="inlineStr">
        <is>
          <t>Q13</t>
        </is>
      </c>
      <c r="B36" s="18" t="inlineStr">
        <is>
          <t>4 · Content quality &amp; E-E-A-T</t>
        </is>
      </c>
      <c r="C36" s="18" t="inlineStr">
        <is>
          <t>Written for a real audience and a real purpose — the site has a clear primary focus</t>
        </is>
      </c>
      <c r="D36" s="18" t="inlineStr">
        <is>
          <t>Could answer 'who is this for and why does this site exist?' in one sentence</t>
        </is>
      </c>
      <c r="E36" s="18" t="inlineStr">
        <is>
          <t>SEO Lead</t>
        </is>
      </c>
      <c r="F36" s="18" t="inlineStr">
        <is>
          <t>HELPFUL (Why)</t>
        </is>
      </c>
      <c r="G36" s="6" t="inlineStr"/>
      <c r="H36" s="6" t="inlineStr"/>
    </row>
    <row r="37" ht="42" customHeight="1">
      <c r="A37" s="18" t="inlineStr">
        <is>
          <t>Q14</t>
        </is>
      </c>
      <c r="B37" s="18" t="inlineStr">
        <is>
          <t>4 · Content quality &amp; E-E-A-T</t>
        </is>
      </c>
      <c r="C37" s="18" t="inlineStr">
        <is>
          <t>Reviews/comparisons based on genuine testing with methodology shown</t>
        </is>
      </c>
      <c r="D37" s="18" t="inlineStr">
        <is>
          <t>'Best X' pages state what was tested, how, and show results/criteria</t>
        </is>
      </c>
      <c r="E37" s="18" t="inlineStr">
        <is>
          <t>Content</t>
        </is>
      </c>
      <c r="F37" s="18" t="inlineStr">
        <is>
          <t>RANK-SYS (reviews)</t>
        </is>
      </c>
      <c r="G37" s="6" t="inlineStr"/>
      <c r="H37" s="6" t="inlineStr"/>
    </row>
    <row r="38" ht="42" customHeight="1">
      <c r="A38" s="18" t="inlineStr">
        <is>
          <t>Q15</t>
        </is>
      </c>
      <c r="B38" s="18" t="inlineStr">
        <is>
          <t>4 · Content quality &amp; E-E-A-T</t>
        </is>
      </c>
      <c r="C38" s="18" t="inlineStr">
        <is>
          <t>Length serves the topic — no word-count targets (Google has no preferred word count)</t>
        </is>
      </c>
      <c r="D38" s="18" t="inlineStr">
        <is>
          <t>No padding to hit N words; no cutting to hit N words</t>
        </is>
      </c>
      <c r="E38" s="18" t="inlineStr">
        <is>
          <t>Content</t>
        </is>
      </c>
      <c r="F38" s="18" t="inlineStr">
        <is>
          <t>HELPFUL</t>
        </is>
      </c>
      <c r="G38" s="6" t="inlineStr"/>
      <c r="H38" s="6" t="inlineStr"/>
    </row>
    <row r="39" ht="42" customHeight="1">
      <c r="A39" s="19" t="inlineStr">
        <is>
          <t>U1</t>
        </is>
      </c>
      <c r="B39" s="19" t="inlineStr">
        <is>
          <t>5 · Page experience &amp; usability</t>
        </is>
      </c>
      <c r="C39" s="19" t="inlineStr">
        <is>
          <t>Fully mobile-friendly: responsive, readable without zoom, tappable elements</t>
        </is>
      </c>
      <c r="D39" s="19" t="inlineStr">
        <is>
          <t>Passes Mobile-Friendly Test; manual check on a real phone</t>
        </is>
      </c>
      <c r="E39" s="19" t="inlineStr">
        <is>
          <t>Dev</t>
        </is>
      </c>
      <c r="F39" s="19" t="inlineStr">
        <is>
          <t>HSW-RANK · PAGEEXP</t>
        </is>
      </c>
      <c r="G39" s="6" t="inlineStr"/>
      <c r="H39" s="6" t="inlineStr"/>
    </row>
    <row r="40" ht="42" customHeight="1">
      <c r="A40" s="19" t="inlineStr">
        <is>
          <t>U2</t>
        </is>
      </c>
      <c r="B40" s="19" t="inlineStr">
        <is>
          <t>5 · Page experience &amp; usability</t>
        </is>
      </c>
      <c r="C40" s="19" t="inlineStr">
        <is>
          <t>Core Web Vitals pass on mobile: LCP ≤ 2.5s, INP ≤ 200ms, CLS ≤ 0.1</t>
        </is>
      </c>
      <c r="D40" s="19" t="inlineStr">
        <is>
          <t>GSC Core Web Vitals report: URLs in 'Good' (field data, 28-day)</t>
        </is>
      </c>
      <c r="E40" s="19" t="inlineStr">
        <is>
          <t>Dev</t>
        </is>
      </c>
      <c r="F40" s="19" t="inlineStr">
        <is>
          <t>PAGEEXP</t>
        </is>
      </c>
      <c r="G40" s="6" t="inlineStr"/>
      <c r="H40" s="6" t="inlineStr"/>
    </row>
    <row r="41" ht="42" customHeight="1">
      <c r="A41" s="19" t="inlineStr">
        <is>
          <t>U3</t>
        </is>
      </c>
      <c r="B41" s="19" t="inlineStr">
        <is>
          <t>5 · Page experience &amp; usability</t>
        </is>
      </c>
      <c r="C41" s="19" t="inlineStr">
        <is>
          <t>HTTPS on every page; no mixed content</t>
        </is>
      </c>
      <c r="D41" s="19" t="inlineStr">
        <is>
          <t>No http:// assets; HSTS considered; certificate auto-renews</t>
        </is>
      </c>
      <c r="E41" s="19" t="inlineStr">
        <is>
          <t>Dev</t>
        </is>
      </c>
      <c r="F41" s="19" t="inlineStr">
        <is>
          <t>PAGEEXP</t>
        </is>
      </c>
      <c r="G41" s="6" t="inlineStr"/>
      <c r="H41" s="6" t="inlineStr"/>
    </row>
    <row r="42" ht="42" customHeight="1">
      <c r="A42" s="19" t="inlineStr">
        <is>
          <t>U4</t>
        </is>
      </c>
      <c r="B42" s="19" t="inlineStr">
        <is>
          <t>5 · Page experience &amp; usability</t>
        </is>
      </c>
      <c r="C42" s="19" t="inlineStr">
        <is>
          <t>No intrusive interstitials covering main content (especially on mobile)</t>
        </is>
      </c>
      <c r="D42" s="19" t="inlineStr">
        <is>
          <t>No full-screen popups on entry; cookie banners non-blocking</t>
        </is>
      </c>
      <c r="E42" s="19" t="inlineStr">
        <is>
          <t>Dev</t>
        </is>
      </c>
      <c r="F42" s="19" t="inlineStr">
        <is>
          <t>PAGEEXP</t>
        </is>
      </c>
      <c r="G42" s="6" t="inlineStr"/>
      <c r="H42" s="6" t="inlineStr"/>
    </row>
    <row r="43" ht="42" customHeight="1">
      <c r="A43" s="19" t="inlineStr">
        <is>
          <t>U5</t>
        </is>
      </c>
      <c r="B43" s="19" t="inlineStr">
        <is>
          <t>5 · Page experience &amp; usability</t>
        </is>
      </c>
      <c r="C43" s="19" t="inlineStr">
        <is>
          <t>Ads and layout don't bury main content or cause layout shift</t>
        </is>
      </c>
      <c r="D43" s="19" t="inlineStr">
        <is>
          <t>Main content visible without excessive scrolling past ads; ads have reserved space</t>
        </is>
      </c>
      <c r="E43" s="19" t="inlineStr">
        <is>
          <t>Dev</t>
        </is>
      </c>
      <c r="F43" s="19" t="inlineStr">
        <is>
          <t>PAGEEXP</t>
        </is>
      </c>
      <c r="G43" s="6" t="inlineStr"/>
      <c r="H43" s="6" t="inlineStr"/>
    </row>
    <row r="44" ht="42" customHeight="1">
      <c r="A44" s="19" t="inlineStr">
        <is>
          <t>U6</t>
        </is>
      </c>
      <c r="B44" s="19" t="inlineStr">
        <is>
          <t>5 · Page experience &amp; usability</t>
        </is>
      </c>
      <c r="C44" s="19" t="inlineStr">
        <is>
          <t>Main content immediately visible and understandable — not buried under nav/ads/fluff</t>
        </is>
      </c>
      <c r="D44" s="19" t="inlineStr">
        <is>
          <t>First screen communicates the page's purpose; no 500-word intro before the answer</t>
        </is>
      </c>
      <c r="E44" s="19" t="inlineStr">
        <is>
          <t>Content</t>
        </is>
      </c>
      <c r="F44" s="19" t="inlineStr">
        <is>
          <t>HELPFUL (main content)</t>
        </is>
      </c>
      <c r="G44" s="6" t="inlineStr"/>
      <c r="H44" s="6" t="inlineStr"/>
    </row>
    <row r="45" ht="42" customHeight="1">
      <c r="A45" s="19" t="inlineStr">
        <is>
          <t>U7</t>
        </is>
      </c>
      <c r="B45" s="19" t="inlineStr">
        <is>
          <t>5 · Page experience &amp; usability</t>
        </is>
      </c>
      <c r="C45" s="19" t="inlineStr">
        <is>
          <t>Site works across browsers and on slow connections</t>
        </is>
      </c>
      <c r="D45" s="19" t="inlineStr">
        <is>
          <t>Tested on Chrome/Safari/Firefox; pages usable on 3G-speed throttling</t>
        </is>
      </c>
      <c r="E45" s="19" t="inlineStr">
        <is>
          <t>Dev</t>
        </is>
      </c>
      <c r="F45" s="19" t="inlineStr">
        <is>
          <t>HSW-RANK</t>
        </is>
      </c>
      <c r="G45" s="6" t="inlineStr"/>
      <c r="H45" s="6" t="inlineStr"/>
    </row>
    <row r="46" ht="42" customHeight="1">
      <c r="A46" s="15" t="inlineStr">
        <is>
          <t>A1</t>
        </is>
      </c>
      <c r="B46" s="15" t="inlineStr">
        <is>
          <t>6 · Authority, links &amp; reputation</t>
        </is>
      </c>
      <c r="C46" s="15" t="inlineStr">
        <is>
          <t>Earn links from prominent, topically relevant sites (original data, free tools, digital PR)</t>
        </is>
      </c>
      <c r="D46" s="15" t="inlineStr">
        <is>
          <t>Link-earning assets exist (study/tool/guide); outreach log maintained</t>
        </is>
      </c>
      <c r="E46" s="15" t="inlineStr">
        <is>
          <t>SEO Lead</t>
        </is>
      </c>
      <c r="F46" s="15" t="inlineStr">
        <is>
          <t>HSW-RANK · RANK-SYS (PageRank)</t>
        </is>
      </c>
      <c r="G46" s="6" t="inlineStr"/>
      <c r="H46" s="6" t="inlineStr"/>
    </row>
    <row r="47" ht="42" customHeight="1">
      <c r="A47" s="15" t="inlineStr">
        <is>
          <t>A2</t>
        </is>
      </c>
      <c r="B47" s="15" t="inlineStr">
        <is>
          <t>6 · Authority, links &amp; reputation</t>
        </is>
      </c>
      <c r="C47" s="15" t="inlineStr">
        <is>
          <t>Internal linking pushes equity to priority pages with descriptive anchors</t>
        </is>
      </c>
      <c r="D47" s="15" t="inlineStr">
        <is>
          <t>Money pages linked from homepage/nav/contextual spots; anchor text describes destination</t>
        </is>
      </c>
      <c r="E47" s="15" t="inlineStr">
        <is>
          <t>SEO Lead</t>
        </is>
      </c>
      <c r="F47" s="15" t="inlineStr">
        <is>
          <t>RANK-SYS (link analysis)</t>
        </is>
      </c>
      <c r="G47" s="6" t="inlineStr"/>
      <c r="H47" s="6" t="inlineStr"/>
    </row>
    <row r="48" ht="42" customHeight="1">
      <c r="A48" s="15" t="inlineStr">
        <is>
          <t>A3</t>
        </is>
      </c>
      <c r="B48" s="15" t="inlineStr">
        <is>
          <t>6 · Authority, links &amp; reputation</t>
        </is>
      </c>
      <c r="C48" s="15" t="inlineStr">
        <is>
          <t>Anchor text natural — no exact-match anchor over-optimization</t>
        </is>
      </c>
      <c r="D48" s="15" t="inlineStr">
        <is>
          <t>Branded/natural anchors dominate; exact-match used sparingly and editorially</t>
        </is>
      </c>
      <c r="E48" s="15" t="inlineStr">
        <is>
          <t>Content</t>
        </is>
      </c>
      <c r="F48" s="15" t="inlineStr">
        <is>
          <t>RANK-SYS (exact-match domain)</t>
        </is>
      </c>
      <c r="G48" s="6" t="inlineStr"/>
      <c r="H48" s="6" t="inlineStr"/>
    </row>
    <row r="49" ht="42" customHeight="1">
      <c r="A49" s="15" t="inlineStr">
        <is>
          <t>A4</t>
        </is>
      </c>
      <c r="B49" s="15" t="inlineStr">
        <is>
          <t>6 · Authority, links &amp; reputation</t>
        </is>
      </c>
      <c r="C49" s="15" t="inlineStr">
        <is>
          <t>Outbound links to authoritative sources where they help the reader</t>
        </is>
      </c>
      <c r="D49" s="15" t="inlineStr">
        <is>
          <t>Data/claims cite primary sources; sources open in new tab where appropriate</t>
        </is>
      </c>
      <c r="E49" s="15" t="inlineStr">
        <is>
          <t>Content</t>
        </is>
      </c>
      <c r="F49" s="15" t="inlineStr">
        <is>
          <t>HELPFUL (expertise)</t>
        </is>
      </c>
      <c r="G49" s="6" t="inlineStr"/>
      <c r="H49" s="6" t="inlineStr"/>
    </row>
    <row r="50" ht="42" customHeight="1">
      <c r="A50" s="15" t="inlineStr">
        <is>
          <t>A5</t>
        </is>
      </c>
      <c r="B50" s="15" t="inlineStr">
        <is>
          <t>6 · Authority, links &amp; reputation</t>
        </is>
      </c>
      <c r="C50" s="15" t="inlineStr">
        <is>
          <t>Paid/sponsored links never pass ranking credit — rel='sponsored' or 'nofollow' applied</t>
        </is>
      </c>
      <c r="D50" s="15" t="inlineStr">
        <is>
          <t>Audit of all paid placements, sponsorships, gifted-product links</t>
        </is>
      </c>
      <c r="E50" s="15" t="inlineStr">
        <is>
          <t>SEO Lead</t>
        </is>
      </c>
      <c r="F50" s="15" t="inlineStr">
        <is>
          <t>SPAM (link spam)</t>
        </is>
      </c>
      <c r="G50" s="6" t="inlineStr"/>
      <c r="H50" s="6" t="inlineStr"/>
    </row>
    <row r="51" ht="42" customHeight="1">
      <c r="A51" s="15" t="inlineStr">
        <is>
          <t>A6</t>
        </is>
      </c>
      <c r="B51" s="15" t="inlineStr">
        <is>
          <t>6 · Authority, links &amp; reputation</t>
        </is>
      </c>
      <c r="C51" s="15" t="inlineStr">
        <is>
          <t>No link schemes: no automated link building, excessive reciprocal links, directory spam, widget/footer spam, comment spam</t>
        </is>
      </c>
      <c r="D51" s="15" t="inlineStr">
        <is>
          <t>Backlink profile reviewed quarterly; disavow only as last resort</t>
        </is>
      </c>
      <c r="E51" s="15" t="inlineStr">
        <is>
          <t>SEO Lead</t>
        </is>
      </c>
      <c r="F51" s="15" t="inlineStr">
        <is>
          <t>SPAM (link spam)</t>
        </is>
      </c>
      <c r="G51" s="6" t="inlineStr"/>
      <c r="H51" s="6" t="inlineStr"/>
    </row>
    <row r="52" ht="42" customHeight="1">
      <c r="A52" s="15" t="inlineStr">
        <is>
          <t>A7</t>
        </is>
      </c>
      <c r="B52" s="15" t="inlineStr">
        <is>
          <t>6 · Authority, links &amp; reputation</t>
        </is>
      </c>
      <c r="C52" s="15" t="inlineStr">
        <is>
          <t>Entity authority built: consistent brand, author entities, off-site brand mentions</t>
        </is>
      </c>
      <c r="D52" s="15" t="inlineStr">
        <is>
          <t>Same brand name/About/authors across site, socials, directories; brand search volume tracked</t>
        </is>
      </c>
      <c r="E52" s="15" t="inlineStr">
        <is>
          <t>SEO Lead</t>
        </is>
      </c>
      <c r="F52" s="15" t="inlineStr">
        <is>
          <t>HELPFUL (expertise)</t>
        </is>
      </c>
      <c r="G52" s="6" t="inlineStr"/>
      <c r="H52" s="6" t="inlineStr"/>
    </row>
    <row r="53" ht="42" customHeight="1">
      <c r="A53" s="15" t="inlineStr">
        <is>
          <t>A8</t>
        </is>
      </c>
      <c r="B53" s="15" t="inlineStr">
        <is>
          <t>6 · Authority, links &amp; reputation</t>
        </is>
      </c>
      <c r="C53" s="15" t="inlineStr">
        <is>
          <t>No reliance on exact-match domains as a ranking crutch</t>
        </is>
      </c>
      <c r="D53" s="15" t="inlineStr">
        <is>
          <t>Brandable domain strategy; content quality carries the ranking, not the URL string</t>
        </is>
      </c>
      <c r="E53" s="15" t="inlineStr">
        <is>
          <t>SEO Lead</t>
        </is>
      </c>
      <c r="F53" s="15" t="inlineStr">
        <is>
          <t>RANK-SYS (exact-match domain)</t>
        </is>
      </c>
      <c r="G53" s="6" t="inlineStr"/>
      <c r="H53" s="6" t="inlineStr"/>
    </row>
    <row r="54" ht="42" customHeight="1">
      <c r="A54" s="19" t="inlineStr">
        <is>
          <t>T1</t>
        </is>
      </c>
      <c r="B54" s="19" t="inlineStr">
        <is>
          <t>7 · Spam-policy &amp; safety compliance</t>
        </is>
      </c>
      <c r="C54" s="19" t="inlineStr">
        <is>
          <t>No cloaking — Googlebot sees the same content as users</t>
        </is>
      </c>
      <c r="D54" s="19" t="inlineStr">
        <is>
          <t>User-agent-based content swaps: none. Verified via fetch-as-Google vs browser compare</t>
        </is>
      </c>
      <c r="E54" s="19" t="inlineStr">
        <is>
          <t>Dev</t>
        </is>
      </c>
      <c r="F54" s="19" t="inlineStr">
        <is>
          <t>SPAM (cloaking)</t>
        </is>
      </c>
      <c r="G54" s="6" t="inlineStr"/>
      <c r="H54" s="6" t="inlineStr"/>
    </row>
    <row r="55" ht="42" customHeight="1">
      <c r="A55" s="19" t="inlineStr">
        <is>
          <t>T2</t>
        </is>
      </c>
      <c r="B55" s="19" t="inlineStr">
        <is>
          <t>7 · Spam-policy &amp; safety compliance</t>
        </is>
      </c>
      <c r="C55" s="19" t="inlineStr">
        <is>
          <t>No doorway pages — no near-identical pages/sites targeting keyword/city variants that funnel elsewhere</t>
        </is>
      </c>
      <c r="D55" s="19" t="inlineStr">
        <is>
          <t>One page per intent; location pages only where genuinely unique local value exists</t>
        </is>
      </c>
      <c r="E55" s="19" t="inlineStr">
        <is>
          <t>SEO Lead</t>
        </is>
      </c>
      <c r="F55" s="19" t="inlineStr">
        <is>
          <t>SPAM (doorway abuse)</t>
        </is>
      </c>
      <c r="G55" s="6" t="inlineStr"/>
      <c r="H55" s="6" t="inlineStr"/>
    </row>
    <row r="56" ht="42" customHeight="1">
      <c r="A56" s="19" t="inlineStr">
        <is>
          <t>T3</t>
        </is>
      </c>
      <c r="B56" s="19" t="inlineStr">
        <is>
          <t>7 · Spam-policy &amp; safety compliance</t>
        </is>
      </c>
      <c r="C56" s="19" t="inlineStr">
        <is>
          <t>No keyword stuffing — no unnatural repetition, city lists, or phone-number blocks</t>
        </is>
      </c>
      <c r="D56" s="19" t="inlineStr">
        <is>
          <t>Copy reads naturally; keyword density never forced</t>
        </is>
      </c>
      <c r="E56" s="19" t="inlineStr">
        <is>
          <t>Content</t>
        </is>
      </c>
      <c r="F56" s="19" t="inlineStr">
        <is>
          <t>SPAM (keyword stuffing)</t>
        </is>
      </c>
      <c r="G56" s="6" t="inlineStr"/>
      <c r="H56" s="6" t="inlineStr"/>
    </row>
    <row r="57" ht="42" customHeight="1">
      <c r="A57" s="19" t="inlineStr">
        <is>
          <t>T4</t>
        </is>
      </c>
      <c r="B57" s="19" t="inlineStr">
        <is>
          <t>7 · Spam-policy &amp; safety compliance</t>
        </is>
      </c>
      <c r="C57" s="19" t="inlineStr">
        <is>
          <t>No hidden text or links (white-on-white, off-screen CSS, zero-size fonts)</t>
        </is>
      </c>
      <c r="D57" s="19" t="inlineStr">
        <is>
          <t>Legit accordions/tabs/tooltips are fine; nothing hidden purely for engines</t>
        </is>
      </c>
      <c r="E57" s="19" t="inlineStr">
        <is>
          <t>Dev</t>
        </is>
      </c>
      <c r="F57" s="19" t="inlineStr">
        <is>
          <t>SPAM (hidden text/links)</t>
        </is>
      </c>
      <c r="G57" s="6" t="inlineStr"/>
      <c r="H57" s="6" t="inlineStr"/>
    </row>
    <row r="58" ht="42" customHeight="1">
      <c r="A58" s="19" t="inlineStr">
        <is>
          <t>T5</t>
        </is>
      </c>
      <c r="B58" s="19" t="inlineStr">
        <is>
          <t>7 · Spam-policy &amp; safety compliance</t>
        </is>
      </c>
      <c r="C58" s="19" t="inlineStr">
        <is>
          <t>No sneaky redirects — redirects only for genuine moves/consolidation</t>
        </is>
      </c>
      <c r="D58" s="19" t="inlineStr">
        <is>
          <t>Every redirect lands on the equivalent content the user expected</t>
        </is>
      </c>
      <c r="E58" s="19" t="inlineStr">
        <is>
          <t>Dev</t>
        </is>
      </c>
      <c r="F58" s="19" t="inlineStr">
        <is>
          <t>SPAM (sneaky redirects)</t>
        </is>
      </c>
      <c r="G58" s="6" t="inlineStr"/>
      <c r="H58" s="6" t="inlineStr"/>
    </row>
    <row r="59" ht="42" customHeight="1">
      <c r="A59" s="19" t="inlineStr">
        <is>
          <t>T6</t>
        </is>
      </c>
      <c r="B59" s="19" t="inlineStr">
        <is>
          <t>7 · Spam-policy &amp; safety compliance</t>
        </is>
      </c>
      <c r="C59" s="19" t="inlineStr">
        <is>
          <t>No scraped content — no republishing others' work without substantial added original value</t>
        </is>
      </c>
      <c r="D59" s="19" t="inlineStr">
        <is>
          <t>Every page adds original analysis, data, or synthesis; sources credited</t>
        </is>
      </c>
      <c r="E59" s="19" t="inlineStr">
        <is>
          <t>Content</t>
        </is>
      </c>
      <c r="F59" s="19" t="inlineStr">
        <is>
          <t>SPAM (scraping)</t>
        </is>
      </c>
      <c r="G59" s="6" t="inlineStr"/>
      <c r="H59" s="6" t="inlineStr"/>
    </row>
    <row r="60" ht="42" customHeight="1">
      <c r="A60" s="19" t="inlineStr">
        <is>
          <t>T7</t>
        </is>
      </c>
      <c r="B60" s="19" t="inlineStr">
        <is>
          <t>7 · Spam-policy &amp; safety compliance</t>
        </is>
      </c>
      <c r="C60" s="19" t="inlineStr">
        <is>
          <t>No scaled content abuse — no mass auto/AI-generated pages made primarily to manipulate rankings</t>
        </is>
      </c>
      <c r="D60" s="19" t="inlineStr">
        <is>
          <t>Publishing velocity matches editorial capacity; each page individually justifiable</t>
        </is>
      </c>
      <c r="E60" s="19" t="inlineStr">
        <is>
          <t>SEO Lead</t>
        </is>
      </c>
      <c r="F60" s="19" t="inlineStr">
        <is>
          <t>SPAM (scaled content abuse)</t>
        </is>
      </c>
      <c r="G60" s="6" t="inlineStr"/>
      <c r="H60" s="6" t="inlineStr"/>
    </row>
    <row r="61" ht="42" customHeight="1">
      <c r="A61" s="19" t="inlineStr">
        <is>
          <t>T8</t>
        </is>
      </c>
      <c r="B61" s="19" t="inlineStr">
        <is>
          <t>7 · Spam-policy &amp; safety compliance</t>
        </is>
      </c>
      <c r="C61" s="19" t="inlineStr">
        <is>
          <t>No expired-domain abuse — no repurposing expired domains for unrelated low-value content</t>
        </is>
      </c>
      <c r="D61" s="19" t="inlineStr">
        <is>
          <t>Acquired domains only used for genuinely related, valuable content</t>
        </is>
      </c>
      <c r="E61" s="19" t="inlineStr">
        <is>
          <t>SEO Lead</t>
        </is>
      </c>
      <c r="F61" s="19" t="inlineStr">
        <is>
          <t>SPAM (expired domain abuse)</t>
        </is>
      </c>
      <c r="G61" s="6" t="inlineStr"/>
      <c r="H61" s="6" t="inlineStr"/>
    </row>
    <row r="62" ht="42" customHeight="1">
      <c r="A62" s="19" t="inlineStr">
        <is>
          <t>T9</t>
        </is>
      </c>
      <c r="B62" s="19" t="inlineStr">
        <is>
          <t>7 · Spam-policy &amp; safety compliance</t>
        </is>
      </c>
      <c r="C62" s="19" t="inlineStr">
        <is>
          <t>No site-reputation abuse — no third-party content hosted mainly to leech the site's ranking signals</t>
        </is>
      </c>
      <c r="D62" s="19" t="inlineStr">
        <is>
          <t>No 'parasite SEO' sections unrelated to the site's focus</t>
        </is>
      </c>
      <c r="E62" s="19" t="inlineStr">
        <is>
          <t>SEO Lead</t>
        </is>
      </c>
      <c r="F62" s="19" t="inlineStr">
        <is>
          <t>SPAM (site reputation)</t>
        </is>
      </c>
      <c r="G62" s="6" t="inlineStr"/>
      <c r="H62" s="6" t="inlineStr"/>
    </row>
    <row r="63" ht="42" customHeight="1">
      <c r="A63" s="19" t="inlineStr">
        <is>
          <t>T10</t>
        </is>
      </c>
      <c r="B63" s="19" t="inlineStr">
        <is>
          <t>7 · Spam-policy &amp; safety compliance</t>
        </is>
      </c>
      <c r="C63" s="19" t="inlineStr">
        <is>
          <t>Affiliate content adds genuine value (original reviews, testing, comparisons, price info); affiliate links qualified</t>
        </is>
      </c>
      <c r="D63" s="19" t="inlineStr">
        <is>
          <t>No merchant-description copy-paste; rel='sponsored' on affiliate links</t>
        </is>
      </c>
      <c r="E63" s="19" t="inlineStr">
        <is>
          <t>Content</t>
        </is>
      </c>
      <c r="F63" s="19" t="inlineStr">
        <is>
          <t>SPAM (thin affiliation)</t>
        </is>
      </c>
      <c r="G63" s="6" t="inlineStr"/>
      <c r="H63" s="6" t="inlineStr"/>
    </row>
    <row r="64" ht="42" customHeight="1">
      <c r="A64" s="19" t="inlineStr">
        <is>
          <t>T11</t>
        </is>
      </c>
      <c r="B64" s="19" t="inlineStr">
        <is>
          <t>7 · Spam-policy &amp; safety compliance</t>
        </is>
      </c>
      <c r="C64" s="19" t="inlineStr">
        <is>
          <t>User-generated areas moderated — comments/forums/uploads filtered; UGC links nofollowed</t>
        </is>
      </c>
      <c r="D64" s="19" t="inlineStr">
        <is>
          <t>Spam filters + human moderation; rel='ugc' on user links</t>
        </is>
      </c>
      <c r="E64" s="19" t="inlineStr">
        <is>
          <t>Dev</t>
        </is>
      </c>
      <c r="F64" s="19" t="inlineStr">
        <is>
          <t>SPAM (user-generated spam)</t>
        </is>
      </c>
      <c r="G64" s="6" t="inlineStr"/>
      <c r="H64" s="6" t="inlineStr"/>
    </row>
    <row r="65" ht="42" customHeight="1">
      <c r="A65" s="19" t="inlineStr">
        <is>
          <t>T12</t>
        </is>
      </c>
      <c r="B65" s="19" t="inlineStr">
        <is>
          <t>7 · Spam-policy &amp; safety compliance</t>
        </is>
      </c>
      <c r="C65" s="19" t="inlineStr">
        <is>
          <t>Site secured — updated CMS/plugins, strong credentials, malware monitoring</t>
        </is>
      </c>
      <c r="D65" s="19" t="inlineStr">
        <is>
          <t>GSC Security Issues report clean; no injected spam pages/links/redirects</t>
        </is>
      </c>
      <c r="E65" s="19" t="inlineStr">
        <is>
          <t>Dev</t>
        </is>
      </c>
      <c r="F65" s="19" t="inlineStr">
        <is>
          <t>SPAM (hacked content)</t>
        </is>
      </c>
      <c r="G65" s="6" t="inlineStr"/>
      <c r="H65" s="6" t="inlineStr"/>
    </row>
    <row r="66" ht="42" customHeight="1">
      <c r="A66" s="19" t="inlineStr">
        <is>
          <t>T13</t>
        </is>
      </c>
      <c r="B66" s="19" t="inlineStr">
        <is>
          <t>7 · Spam-policy &amp; safety compliance</t>
        </is>
      </c>
      <c r="C66" s="19" t="inlineStr">
        <is>
          <t>No misleading functionality — no fake buttons, fake generators, fake downloads, deceptive ads</t>
        </is>
      </c>
      <c r="D66" s="19" t="inlineStr">
        <is>
          <t>Every button/tool does exactly what it claims (critical for tool &amp; download sites)</t>
        </is>
      </c>
      <c r="E66" s="19" t="inlineStr">
        <is>
          <t>Dev</t>
        </is>
      </c>
      <c r="F66" s="19" t="inlineStr">
        <is>
          <t>SPAM (misleading functionality)</t>
        </is>
      </c>
      <c r="G66" s="6" t="inlineStr"/>
      <c r="H66" s="6" t="inlineStr"/>
    </row>
    <row r="67" ht="42" customHeight="1">
      <c r="A67" s="19" t="inlineStr">
        <is>
          <t>T14</t>
        </is>
      </c>
      <c r="B67" s="19" t="inlineStr">
        <is>
          <t>7 · Spam-policy &amp; safety compliance</t>
        </is>
      </c>
      <c r="C67" s="19" t="inlineStr">
        <is>
          <t>No policy circumvention — no new subdomains/sites spun up to dodge penalties</t>
        </is>
      </c>
      <c r="D67" s="19" t="inlineStr">
        <is>
          <t>Penalties fixed at the root cause, never evaded</t>
        </is>
      </c>
      <c r="E67" s="19" t="inlineStr">
        <is>
          <t>SEO Lead</t>
        </is>
      </c>
      <c r="F67" s="19" t="inlineStr">
        <is>
          <t>SPAM (policy circumvention)</t>
        </is>
      </c>
      <c r="G67" s="6" t="inlineStr"/>
      <c r="H67" s="6" t="inlineStr"/>
    </row>
    <row r="68" ht="42" customHeight="1">
      <c r="A68" s="19" t="inlineStr">
        <is>
          <t>T15</t>
        </is>
      </c>
      <c r="B68" s="19" t="inlineStr">
        <is>
          <t>7 · Spam-policy &amp; safety compliance</t>
        </is>
      </c>
      <c r="C68" s="19" t="inlineStr">
        <is>
          <t>Copyright respected — no pirated content; DMCA complaints handled immediately</t>
        </is>
      </c>
      <c r="D68" s="19" t="inlineStr">
        <is>
          <t>Volume of valid removals demotes the whole site — zero tolerance</t>
        </is>
      </c>
      <c r="E68" s="19" t="inlineStr">
        <is>
          <t>SEO Lead</t>
        </is>
      </c>
      <c r="F68" s="19" t="inlineStr">
        <is>
          <t>SPAM (legal removals)</t>
        </is>
      </c>
      <c r="G68" s="6" t="inlineStr"/>
      <c r="H68" s="6" t="inlineStr"/>
    </row>
    <row r="69" ht="42" customHeight="1">
      <c r="A69" s="19" t="inlineStr">
        <is>
          <t>T16</t>
        </is>
      </c>
      <c r="B69" s="19" t="inlineStr">
        <is>
          <t>7 · Spam-policy &amp; safety compliance</t>
        </is>
      </c>
      <c r="C69" s="19" t="inlineStr">
        <is>
          <t>No scam/fraud — no impersonation, fake business info, deceptive 'official support' pages</t>
        </is>
      </c>
      <c r="D69" s="19" t="inlineStr">
        <is>
          <t>Business identity verifiable; contact details real</t>
        </is>
      </c>
      <c r="E69" s="19" t="inlineStr">
        <is>
          <t>SEO Lead</t>
        </is>
      </c>
      <c r="F69" s="19" t="inlineStr">
        <is>
          <t>SPAM (scam and fraud)</t>
        </is>
      </c>
      <c r="G69" s="6" t="inlineStr"/>
      <c r="H69" s="6" t="inlineStr"/>
    </row>
    <row r="70" ht="42" customHeight="1">
      <c r="A70" s="19" t="inlineStr">
        <is>
          <t>T17</t>
        </is>
      </c>
      <c r="B70" s="19" t="inlineStr">
        <is>
          <t>7 · Spam-policy &amp; safety compliance</t>
        </is>
      </c>
      <c r="C70" s="19" t="inlineStr">
        <is>
          <t>No machine-generated traffic to Google (no scraping Google for rank checks)</t>
        </is>
      </c>
      <c r="D70" s="19" t="inlineStr">
        <is>
          <t>Rank data from Search Console API only</t>
        </is>
      </c>
      <c r="E70" s="19" t="inlineStr">
        <is>
          <t>SEO Lead</t>
        </is>
      </c>
      <c r="F70" s="19" t="inlineStr">
        <is>
          <t>SPAM (machine-generated traffic)</t>
        </is>
      </c>
      <c r="G70" s="6" t="inlineStr"/>
      <c r="H70" s="6" t="inlineStr"/>
    </row>
    <row r="71" ht="42" customHeight="1">
      <c r="A71" s="17" t="inlineStr">
        <is>
          <t>L1</t>
        </is>
      </c>
      <c r="B71" s="17" t="inlineStr">
        <is>
          <t>8 · Localization, SERP features &amp; brand</t>
        </is>
      </c>
      <c r="C71" s="17" t="inlineStr">
        <is>
          <t>Local-intent queries served with genuinely local content; business has a complete Google Business Profile</t>
        </is>
      </c>
      <c r="D71" s="17" t="inlineStr">
        <is>
          <t>NAP consistent; reviews managed; local pages unique per location</t>
        </is>
      </c>
      <c r="E71" s="17" t="inlineStr">
        <is>
          <t>SEO Lead</t>
        </is>
      </c>
      <c r="F71" s="17" t="inlineStr">
        <is>
          <t>HSW-RANK · RANK-SYS (local)</t>
        </is>
      </c>
      <c r="G71" s="6" t="inlineStr"/>
      <c r="H71" s="6" t="inlineStr"/>
    </row>
    <row r="72" ht="42" customHeight="1">
      <c r="A72" s="17" t="inlineStr">
        <is>
          <t>L2</t>
        </is>
      </c>
      <c r="B72" s="17" t="inlineStr">
        <is>
          <t>8 · Localization, SERP features &amp; brand</t>
        </is>
      </c>
      <c r="C72" s="17" t="inlineStr">
        <is>
          <t>Country/language targeting correct (hreflang, URL structure, GSC settings)</t>
        </is>
      </c>
      <c r="D72" s="17" t="inlineStr">
        <is>
          <t>Right audience sees right version; no wrong-region ranking</t>
        </is>
      </c>
      <c r="E72" s="17" t="inlineStr">
        <is>
          <t>Dev</t>
        </is>
      </c>
      <c r="F72" s="17" t="inlineStr">
        <is>
          <t>HSW-INDEX · HSW-RANK</t>
        </is>
      </c>
      <c r="G72" s="6" t="inlineStr"/>
      <c r="H72" s="6" t="inlineStr"/>
    </row>
    <row r="73" ht="42" customHeight="1">
      <c r="A73" s="17" t="inlineStr">
        <is>
          <t>L3</t>
        </is>
      </c>
      <c r="B73" s="17" t="inlineStr">
        <is>
          <t>8 · Localization, SERP features &amp; brand</t>
        </is>
      </c>
      <c r="C73" s="17" t="inlineStr">
        <is>
          <t>SERP features targeted per query: concise definitions/lists for snippets, original images, video where intent exists</t>
        </is>
      </c>
      <c r="D73" s="17" t="inlineStr">
        <is>
          <t>Snippet-friendly 40–60 word definitions; descriptive image SEO; video sitemap if applicable</t>
        </is>
      </c>
      <c r="E73" s="17" t="inlineStr">
        <is>
          <t>Content</t>
        </is>
      </c>
      <c r="F73" s="17" t="inlineStr">
        <is>
          <t>HSW-RANK</t>
        </is>
      </c>
      <c r="G73" s="6" t="inlineStr"/>
      <c r="H73" s="6" t="inlineStr"/>
    </row>
    <row r="74" ht="42" customHeight="1">
      <c r="A74" s="17" t="inlineStr">
        <is>
          <t>L4</t>
        </is>
      </c>
      <c r="B74" s="17" t="inlineStr">
        <is>
          <t>8 · Localization, SERP features &amp; brand</t>
        </is>
      </c>
      <c r="C74" s="17" t="inlineStr">
        <is>
          <t>Branded demand built — brand searches, direct visits, repeat engagement</t>
        </is>
      </c>
      <c r="D74" s="17" t="inlineStr">
        <is>
          <t>Brand query volume tracked; site earns return visits (Google notices repeat visits)</t>
        </is>
      </c>
      <c r="E74" s="17" t="inlineStr">
        <is>
          <t>SEO Lead</t>
        </is>
      </c>
      <c r="F74" s="17" t="inlineStr">
        <is>
          <t>HSW-RANK (context)</t>
        </is>
      </c>
      <c r="G74" s="6" t="inlineStr"/>
      <c r="H74" s="6" t="inlineStr"/>
    </row>
    <row r="75" ht="42" customHeight="1">
      <c r="A75" s="17" t="inlineStr">
        <is>
          <t>L5</t>
        </is>
      </c>
      <c r="B75" s="17" t="inlineStr">
        <is>
          <t>8 · Localization, SERP features &amp; brand</t>
        </is>
      </c>
      <c r="C75" s="17" t="inlineStr">
        <is>
          <t>Entity info consistent across the web (brand name, About, authors, profiles)</t>
        </is>
      </c>
      <c r="D75" s="17" t="inlineStr">
        <is>
          <t>Same identity everywhere; no conflicting business details</t>
        </is>
      </c>
      <c r="E75" s="17" t="inlineStr">
        <is>
          <t>SEO Lead</t>
        </is>
      </c>
      <c r="F75" s="17" t="inlineStr">
        <is>
          <t>HELPFUL (expertise)</t>
        </is>
      </c>
      <c r="G75" s="6" t="inlineStr"/>
      <c r="H75" s="6" t="inlineStr"/>
    </row>
    <row r="76" ht="42" customHeight="1">
      <c r="A76" s="20" t="inlineStr">
        <is>
          <t>M1</t>
        </is>
      </c>
      <c r="B76" s="20" t="inlineStr">
        <is>
          <t>9 · Monitoring &amp; iteration</t>
        </is>
      </c>
      <c r="C76" s="20" t="inlineStr">
        <is>
          <t>Search Console + analytics configured; coverage, queries, CTR, CWV, manual actions reviewed weekly</t>
        </is>
      </c>
      <c r="D76" s="20" t="inlineStr">
        <is>
          <t>Weekly SEO health report ritual; alerts on anomalies</t>
        </is>
      </c>
      <c r="E76" s="20" t="inlineStr">
        <is>
          <t>SEO Lead</t>
        </is>
      </c>
      <c r="F76" s="20" t="inlineStr">
        <is>
          <t>HSW docs</t>
        </is>
      </c>
      <c r="G76" s="6" t="inlineStr"/>
      <c r="H76" s="6" t="inlineStr"/>
    </row>
    <row r="77" ht="42" customHeight="1">
      <c r="A77" s="20" t="inlineStr">
        <is>
          <t>M2</t>
        </is>
      </c>
      <c r="B77" s="20" t="inlineStr">
        <is>
          <t>9 · Monitoring &amp; iteration</t>
        </is>
      </c>
      <c r="C77" s="20" t="inlineStr">
        <is>
          <t>Rank data comes from Search Console (average position), never scraped</t>
        </is>
      </c>
      <c r="D77" s="20" t="inlineStr">
        <is>
          <t>No rank-scraping tools hitting Google</t>
        </is>
      </c>
      <c r="E77" s="20" t="inlineStr">
        <is>
          <t>SEO Lead</t>
        </is>
      </c>
      <c r="F77" s="20" t="inlineStr">
        <is>
          <t>SPAM</t>
        </is>
      </c>
      <c r="G77" s="6" t="inlineStr"/>
      <c r="H77" s="6" t="inlineStr"/>
    </row>
    <row r="78" ht="42" customHeight="1">
      <c r="A78" s="20" t="inlineStr">
        <is>
          <t>M3</t>
        </is>
      </c>
      <c r="B78" s="20" t="inlineStr">
        <is>
          <t>9 · Monitoring &amp; iteration</t>
        </is>
      </c>
      <c r="C78" s="20" t="inlineStr">
        <is>
          <t>After drops/core updates: audit impacted pages against the helpful-content questions and fix content</t>
        </is>
      </c>
      <c r="D78" s="20" t="inlineStr">
        <is>
          <t>No 'freshness theater'; root-cause content fixes only</t>
        </is>
      </c>
      <c r="E78" s="20" t="inlineStr">
        <is>
          <t>SEO Lead</t>
        </is>
      </c>
      <c r="F78" s="20" t="inlineStr">
        <is>
          <t>HELPFUL</t>
        </is>
      </c>
      <c r="G78" s="6" t="inlineStr"/>
      <c r="H78" s="6" t="inlineStr"/>
    </row>
    <row r="79" ht="42" customHeight="1">
      <c r="A79" s="20" t="inlineStr">
        <is>
          <t>M4</t>
        </is>
      </c>
      <c r="B79" s="20" t="inlineStr">
        <is>
          <t>9 · Monitoring &amp; iteration</t>
        </is>
      </c>
      <c r="C79" s="20" t="inlineStr">
        <is>
          <t>Confirmed updates tracked via Search Central blog / Search Status Dashboard; unconfirmed-update panic ignored</t>
        </is>
      </c>
      <c r="D79" s="20" t="inlineStr">
        <is>
          <t>Changelog of confirmed updates kept</t>
        </is>
      </c>
      <c r="E79" s="20" t="inlineStr">
        <is>
          <t>SEO Lead</t>
        </is>
      </c>
      <c r="F79" s="20" t="inlineStr">
        <is>
          <t>HSW docs</t>
        </is>
      </c>
      <c r="G79" s="6" t="inlineStr"/>
      <c r="H79" s="6" t="inlineStr"/>
    </row>
    <row r="80" ht="42" customHeight="1">
      <c r="A80" s="20" t="inlineStr">
        <is>
          <t>M5</t>
        </is>
      </c>
      <c r="B80" s="20" t="inlineStr">
        <is>
          <t>9 · Monitoring &amp; iteration</t>
        </is>
      </c>
      <c r="C80" s="20" t="inlineStr">
        <is>
          <t>Site changelog maintained (content updates, tech changes) to correlate with traffic shifts</t>
        </is>
      </c>
      <c r="D80" s="20" t="inlineStr">
        <is>
          <t>Every deploy/content batch logged with date</t>
        </is>
      </c>
      <c r="E80" s="20" t="inlineStr">
        <is>
          <t>All</t>
        </is>
      </c>
      <c r="F80" s="20" t="inlineStr">
        <is>
          <t>HSW docs (testing ethos)</t>
        </is>
      </c>
      <c r="G80" s="6" t="inlineStr"/>
      <c r="H80" s="6" t="inlineStr"/>
    </row>
    <row r="81">
      <c r="B81" s="21" t="inlineStr">
        <is>
          <t>Pillar compliance → use the README sheet summary</t>
        </is>
      </c>
    </row>
  </sheetData>
  <autoFilter ref="A1:H80"/>
  <conditionalFormatting sqref="G2:G80">
    <cfRule type="cellIs" priority="1" operator="equal" dxfId="0">
      <formula>"Pass"</formula>
    </cfRule>
    <cfRule type="cellIs" priority="2" operator="equal" dxfId="1">
      <formula>"Fail"</formula>
    </cfRule>
    <cfRule type="cellIs" priority="3" operator="equal" dxfId="2">
      <formula>"In progress"</formula>
    </cfRule>
    <cfRule type="cellIs" priority="4" operator="equal" dxfId="3">
      <formula>"N/A"</formula>
    </cfRule>
  </conditionalFormatting>
  <dataValidations count="1">
    <dataValidation sqref="G2:G80" showDropDown="0" showInputMessage="0" showErrorMessage="0" allowBlank="1" error="Pick from the list" prompt="Set compliance status" type="list">
      <formula1>"Pass,Fail,In progress,N/A"</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21"/>
  <sheetViews>
    <sheetView workbookViewId="0">
      <pane ySplit="1" topLeftCell="A2" activePane="bottomLeft" state="frozen"/>
      <selection pane="bottomLeft" activeCell="A1" sqref="A1"/>
    </sheetView>
  </sheetViews>
  <sheetFormatPr baseColWidth="8" defaultRowHeight="15"/>
  <cols>
    <col width="7" customWidth="1" min="1" max="1"/>
    <col width="85" customWidth="1" min="2" max="2"/>
    <col width="11" customWidth="1" min="3" max="3"/>
    <col width="14" customWidth="1" min="4" max="4"/>
    <col width="35" customWidth="1" min="5" max="5"/>
  </cols>
  <sheetData>
    <row r="1" ht="24" customHeight="1">
      <c r="A1" s="22" t="inlineStr">
        <is>
          <t>PRE-PUBLISH GATE — no page ships until every applicable item is Pass</t>
        </is>
      </c>
    </row>
    <row r="2">
      <c r="A2" s="5" t="inlineStr">
        <is>
          <t>ID</t>
        </is>
      </c>
      <c r="B2" s="5" t="inlineStr">
        <is>
          <t>Gate check</t>
        </is>
      </c>
      <c r="C2" s="5" t="inlineStr">
        <is>
          <t>Owner</t>
        </is>
      </c>
      <c r="D2" s="5" t="inlineStr">
        <is>
          <t>Status</t>
        </is>
      </c>
      <c r="E2" s="5" t="inlineStr">
        <is>
          <t>Notes</t>
        </is>
      </c>
    </row>
    <row r="3" ht="36" customHeight="1">
      <c r="A3" s="15" t="inlineStr">
        <is>
          <t>G1</t>
        </is>
      </c>
      <c r="B3" s="15" t="inlineStr">
        <is>
          <t>One primary intent + target keyword defined; title/H1 carry it naturally</t>
        </is>
      </c>
      <c r="C3" s="15" t="inlineStr">
        <is>
          <t>Content</t>
        </is>
      </c>
      <c r="D3" s="15" t="inlineStr"/>
      <c r="E3" s="15" t="inlineStr"/>
    </row>
    <row r="4" ht="36" customHeight="1">
      <c r="A4" s="23" t="inlineStr">
        <is>
          <t>G2</t>
        </is>
      </c>
      <c r="B4" s="23" t="inlineStr">
        <is>
          <t>Title honest and descriptive (displays fully, ~60 chars); meta description written for CTR</t>
        </is>
      </c>
      <c r="C4" s="23" t="inlineStr">
        <is>
          <t>Content</t>
        </is>
      </c>
      <c r="D4" s="23" t="inlineStr"/>
      <c r="E4" s="23" t="inlineStr"/>
    </row>
    <row r="5" ht="36" customHeight="1">
      <c r="A5" s="15" t="inlineStr">
        <is>
          <t>G3</t>
        </is>
      </c>
      <c r="B5" s="15" t="inlineStr">
        <is>
          <t>Content is original — adds something competitors don't (data, test, angle, example)</t>
        </is>
      </c>
      <c r="C5" s="15" t="inlineStr">
        <is>
          <t>Content</t>
        </is>
      </c>
      <c r="D5" s="15" t="inlineStr"/>
      <c r="E5" s="15" t="inlineStr"/>
    </row>
    <row r="6" ht="36" customHeight="1">
      <c r="A6" s="23" t="inlineStr">
        <is>
          <t>G4</t>
        </is>
      </c>
      <c r="B6" s="23" t="inlineStr">
        <is>
          <t>Topic covered completely; reader won't need to search again</t>
        </is>
      </c>
      <c r="C6" s="23" t="inlineStr">
        <is>
          <t>Content</t>
        </is>
      </c>
      <c r="D6" s="23" t="inlineStr"/>
      <c r="E6" s="23" t="inlineStr"/>
    </row>
    <row r="7" ht="36" customHeight="1">
      <c r="A7" s="15" t="inlineStr">
        <is>
          <t>G5</t>
        </is>
      </c>
      <c r="B7" s="15" t="inlineStr">
        <is>
          <t>First-hand experience shown (screenshots/photos/data/testing evidence)</t>
        </is>
      </c>
      <c r="C7" s="15" t="inlineStr">
        <is>
          <t>Content</t>
        </is>
      </c>
      <c r="D7" s="15" t="inlineStr"/>
      <c r="E7" s="15" t="inlineStr"/>
    </row>
    <row r="8" ht="36" customHeight="1">
      <c r="A8" s="23" t="inlineStr">
        <is>
          <t>G6</t>
        </is>
      </c>
      <c r="B8" s="23" t="inlineStr">
        <is>
          <t>Facts verified; claims/data linked to sources</t>
        </is>
      </c>
      <c r="C8" s="23" t="inlineStr">
        <is>
          <t>Content</t>
        </is>
      </c>
      <c r="D8" s="23" t="inlineStr"/>
      <c r="E8" s="23" t="inlineStr"/>
    </row>
    <row r="9" ht="36" customHeight="1">
      <c r="A9" s="15" t="inlineStr">
        <is>
          <t>G7</t>
        </is>
      </c>
      <c r="B9" s="15" t="inlineStr">
        <is>
          <t>Byline present linking to a real author page; no fake authorship</t>
        </is>
      </c>
      <c r="C9" s="15" t="inlineStr">
        <is>
          <t>Content</t>
        </is>
      </c>
      <c r="D9" s="15" t="inlineStr"/>
      <c r="E9" s="15" t="inlineStr"/>
    </row>
    <row r="10" ht="36" customHeight="1">
      <c r="A10" s="23" t="inlineStr">
        <is>
          <t>G8</t>
        </is>
      </c>
      <c r="B10" s="23" t="inlineStr">
        <is>
          <t>Single H1; descriptive H2/H3 outline; keyword variants natural, never stuffed</t>
        </is>
      </c>
      <c r="C10" s="23" t="inlineStr">
        <is>
          <t>Content</t>
        </is>
      </c>
      <c r="D10" s="23" t="inlineStr"/>
      <c r="E10" s="23" t="inlineStr"/>
    </row>
    <row r="11" ht="36" customHeight="1">
      <c r="A11" s="15" t="inlineStr">
        <is>
          <t>G9</t>
        </is>
      </c>
      <c r="B11" s="15" t="inlineStr">
        <is>
          <t>Genuine dates only — no fake 'updated' stamps; freshness claims are real</t>
        </is>
      </c>
      <c r="C11" s="15" t="inlineStr">
        <is>
          <t>Content</t>
        </is>
      </c>
      <c r="D11" s="15" t="inlineStr"/>
      <c r="E11" s="15" t="inlineStr"/>
    </row>
    <row r="12" ht="36" customHeight="1">
      <c r="A12" s="23" t="inlineStr">
        <is>
          <t>G10</t>
        </is>
      </c>
      <c r="B12" s="23" t="inlineStr">
        <is>
          <t>Internal links to/from related pages with descriptive anchors</t>
        </is>
      </c>
      <c r="C12" s="23" t="inlineStr">
        <is>
          <t>Content</t>
        </is>
      </c>
      <c r="D12" s="23" t="inlineStr"/>
      <c r="E12" s="23" t="inlineStr"/>
    </row>
    <row r="13" ht="36" customHeight="1">
      <c r="A13" s="15" t="inlineStr">
        <is>
          <t>G11</t>
        </is>
      </c>
      <c r="B13" s="15" t="inlineStr">
        <is>
          <t>Images compressed with descriptive filenames + alt text</t>
        </is>
      </c>
      <c r="C13" s="15" t="inlineStr">
        <is>
          <t>Content</t>
        </is>
      </c>
      <c r="D13" s="15" t="inlineStr"/>
      <c r="E13" s="15" t="inlineStr"/>
    </row>
    <row r="14" ht="36" customHeight="1">
      <c r="A14" s="23" t="inlineStr">
        <is>
          <t>G12</t>
        </is>
      </c>
      <c r="B14" s="23" t="inlineStr">
        <is>
          <t>Structured data added and valid (where eligible)</t>
        </is>
      </c>
      <c r="C14" s="23" t="inlineStr">
        <is>
          <t>Dev</t>
        </is>
      </c>
      <c r="D14" s="23" t="inlineStr"/>
      <c r="E14" s="23" t="inlineStr"/>
    </row>
    <row r="15" ht="36" customHeight="1">
      <c r="A15" s="15" t="inlineStr">
        <is>
          <t>G13</t>
        </is>
      </c>
      <c r="B15" s="15" t="inlineStr">
        <is>
          <t>Self-referencing canonical; no noindex; URL in sitemap</t>
        </is>
      </c>
      <c r="C15" s="15" t="inlineStr">
        <is>
          <t>Dev</t>
        </is>
      </c>
      <c r="D15" s="15" t="inlineStr"/>
      <c r="E15" s="15" t="inlineStr"/>
    </row>
    <row r="16" ht="36" customHeight="1">
      <c r="A16" s="23" t="inlineStr">
        <is>
          <t>G14</t>
        </is>
      </c>
      <c r="B16" s="23" t="inlineStr">
        <is>
          <t>Mobile check passed: readable, no overlap, no intrusive popup</t>
        </is>
      </c>
      <c r="C16" s="23" t="inlineStr">
        <is>
          <t>Dev</t>
        </is>
      </c>
      <c r="D16" s="23" t="inlineStr"/>
      <c r="E16" s="23" t="inlineStr"/>
    </row>
    <row r="17" ht="36" customHeight="1">
      <c r="A17" s="15" t="inlineStr">
        <is>
          <t>G15</t>
        </is>
      </c>
      <c r="B17" s="15" t="inlineStr">
        <is>
          <t>Page fast on mobile (LCP target ≤ 2.5s)</t>
        </is>
      </c>
      <c r="C17" s="15" t="inlineStr">
        <is>
          <t>Dev</t>
        </is>
      </c>
      <c r="D17" s="15" t="inlineStr"/>
      <c r="E17" s="15" t="inlineStr"/>
    </row>
    <row r="18" ht="36" customHeight="1">
      <c r="A18" s="23" t="inlineStr">
        <is>
          <t>G16</t>
        </is>
      </c>
      <c r="B18" s="23" t="inlineStr">
        <is>
          <t>Affiliate/sponsored links (if any) marked sponsored/nofollow AND page adds genuine value</t>
        </is>
      </c>
      <c r="C18" s="23" t="inlineStr">
        <is>
          <t>SEO Lead</t>
        </is>
      </c>
      <c r="D18" s="23" t="inlineStr"/>
      <c r="E18" s="23" t="inlineStr"/>
    </row>
    <row r="19" ht="36" customHeight="1">
      <c r="A19" s="15" t="inlineStr">
        <is>
          <t>G17</t>
        </is>
      </c>
      <c r="B19" s="15" t="inlineStr">
        <is>
          <t>Spell/grammar checked; formatting clean and consistent</t>
        </is>
      </c>
      <c r="C19" s="15" t="inlineStr">
        <is>
          <t>Content</t>
        </is>
      </c>
      <c r="D19" s="15" t="inlineStr"/>
      <c r="E19" s="15" t="inlineStr"/>
    </row>
    <row r="20" ht="36" customHeight="1">
      <c r="A20" s="23" t="inlineStr">
        <is>
          <t>G18</t>
        </is>
      </c>
      <c r="B20" s="23" t="inlineStr">
        <is>
          <t>'Would I bookmark/share this?' — editor answers yes</t>
        </is>
      </c>
      <c r="C20" s="23" t="inlineStr">
        <is>
          <t>Content</t>
        </is>
      </c>
      <c r="D20" s="23" t="inlineStr"/>
      <c r="E20" s="23" t="inlineStr"/>
    </row>
    <row r="21">
      <c r="B21" s="21" t="inlineStr">
        <is>
          <t>Gate score (formula for Excel): =COUNTIF(D3:D20,"Pass")/COUNTA(D3:D20) of applicable items at Pass</t>
        </is>
      </c>
    </row>
  </sheetData>
  <autoFilter ref="A2:E20"/>
  <mergeCells count="1">
    <mergeCell ref="A1:E1"/>
  </mergeCells>
  <conditionalFormatting sqref="D3:D20">
    <cfRule type="cellIs" priority="1" operator="equal" dxfId="0">
      <formula>"Pass"</formula>
    </cfRule>
    <cfRule type="cellIs" priority="2" operator="equal" dxfId="1">
      <formula>"Fail"</formula>
    </cfRule>
    <cfRule type="cellIs" priority="3" operator="equal" dxfId="2">
      <formula>"In progress"</formula>
    </cfRule>
    <cfRule type="cellIs" priority="4" operator="equal" dxfId="3">
      <formula>"N/A"</formula>
    </cfRule>
  </conditionalFormatting>
  <dataValidations count="1">
    <dataValidation sqref="D3:D20" showDropDown="0" showInputMessage="0" showErrorMessage="0" allowBlank="1" type="list">
      <formula1>"Pass,Fail,In progress,N/A"</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9"/>
  <sheetViews>
    <sheetView workbookViewId="0">
      <pane ySplit="1" topLeftCell="A2" activePane="bottomLeft" state="frozen"/>
      <selection pane="bottomLeft" activeCell="A1" sqref="A1"/>
    </sheetView>
  </sheetViews>
  <sheetFormatPr baseColWidth="8" defaultRowHeight="15"/>
  <cols>
    <col width="7" customWidth="1" min="1" max="1"/>
    <col width="70" customWidth="1" min="2" max="2"/>
    <col width="55" customWidth="1" min="3" max="3"/>
    <col width="14" customWidth="1" min="4" max="4"/>
  </cols>
  <sheetData>
    <row r="1" ht="24" customHeight="1">
      <c r="A1" s="24" t="inlineStr">
        <is>
          <t>SPAM RED LINES — 17 hard don'ts. Target: 100% clean. One violation can sink a site.</t>
        </is>
      </c>
    </row>
    <row r="2">
      <c r="A2" s="25" t="inlineStr">
        <is>
          <t>ID</t>
        </is>
      </c>
      <c r="B2" s="25" t="inlineStr">
        <is>
          <t>Violation (never do this)</t>
        </is>
      </c>
      <c r="C2" s="25" t="inlineStr">
        <is>
          <t>What Google does about it</t>
        </is>
      </c>
      <c r="D2" s="25" t="inlineStr">
        <is>
          <t>Status</t>
        </is>
      </c>
    </row>
    <row r="3" ht="36" customHeight="1">
      <c r="A3" s="19" t="inlineStr">
        <is>
          <t>T1</t>
        </is>
      </c>
      <c r="B3" s="19" t="inlineStr">
        <is>
          <t>Cloaking (different content to Googlebot vs users)</t>
        </is>
      </c>
      <c r="C3" s="19" t="inlineStr">
        <is>
          <t>Manual action / removal from results</t>
        </is>
      </c>
      <c r="D3" s="19" t="inlineStr"/>
    </row>
    <row r="4" ht="36" customHeight="1">
      <c r="A4" s="23" t="inlineStr">
        <is>
          <t>T2</t>
        </is>
      </c>
      <c r="B4" s="23" t="inlineStr">
        <is>
          <t>Doorway pages targeting keyword/city variants</t>
        </is>
      </c>
      <c r="C4" s="23" t="inlineStr">
        <is>
          <t>Devalued or removed; site-level distrust</t>
        </is>
      </c>
      <c r="D4" s="23" t="inlineStr"/>
    </row>
    <row r="5" ht="36" customHeight="1">
      <c r="A5" s="19" t="inlineStr">
        <is>
          <t>T3</t>
        </is>
      </c>
      <c r="B5" s="19" t="inlineStr">
        <is>
          <t>Keyword stuffing</t>
        </is>
      </c>
      <c r="C5" s="19" t="inlineStr">
        <is>
          <t>Ranking demotion; page looks low-quality to classifiers</t>
        </is>
      </c>
      <c r="D5" s="19" t="inlineStr"/>
    </row>
    <row r="6" ht="36" customHeight="1">
      <c r="A6" s="23" t="inlineStr">
        <is>
          <t>T4</t>
        </is>
      </c>
      <c r="B6" s="23" t="inlineStr">
        <is>
          <t>Hidden text or links</t>
        </is>
      </c>
      <c r="C6" s="23" t="inlineStr">
        <is>
          <t>Manual action</t>
        </is>
      </c>
      <c r="D6" s="23" t="inlineStr"/>
    </row>
    <row r="7" ht="36" customHeight="1">
      <c r="A7" s="19" t="inlineStr">
        <is>
          <t>T5</t>
        </is>
      </c>
      <c r="B7" s="19" t="inlineStr">
        <is>
          <t>Sneaky redirects</t>
        </is>
      </c>
      <c r="C7" s="19" t="inlineStr">
        <is>
          <t>Manual action</t>
        </is>
      </c>
      <c r="D7" s="19" t="inlineStr"/>
    </row>
    <row r="8" ht="36" customHeight="1">
      <c r="A8" s="23" t="inlineStr">
        <is>
          <t>T6</t>
        </is>
      </c>
      <c r="B8" s="23" t="inlineStr">
        <is>
          <t>Scraped content with no added value</t>
        </is>
      </c>
      <c r="C8" s="23" t="inlineStr">
        <is>
          <t>Not indexed or demoted; original outranks you</t>
        </is>
      </c>
      <c r="D8" s="23" t="inlineStr"/>
    </row>
    <row r="9" ht="36" customHeight="1">
      <c r="A9" s="19" t="inlineStr">
        <is>
          <t>T7</t>
        </is>
      </c>
      <c r="B9" s="19" t="inlineStr">
        <is>
          <t>Scaled content abuse (mass auto/AI pages for rankings)</t>
        </is>
      </c>
      <c r="C9" s="19" t="inlineStr">
        <is>
          <t>Algorithmic suppression, now part of core systems</t>
        </is>
      </c>
      <c r="D9" s="19" t="inlineStr"/>
    </row>
    <row r="10" ht="36" customHeight="1">
      <c r="A10" s="23" t="inlineStr">
        <is>
          <t>T8</t>
        </is>
      </c>
      <c r="B10" s="23" t="inlineStr">
        <is>
          <t>Expired-domain abuse</t>
        </is>
      </c>
      <c r="C10" s="23" t="inlineStr">
        <is>
          <t>Manual action; domain's inherited trust discarded</t>
        </is>
      </c>
      <c r="D10" s="23" t="inlineStr"/>
    </row>
    <row r="11" ht="36" customHeight="1">
      <c r="A11" s="19" t="inlineStr">
        <is>
          <t>T9</t>
        </is>
      </c>
      <c r="B11" s="19" t="inlineStr">
        <is>
          <t>Site-reputation abuse (parasite SEO)</t>
        </is>
      </c>
      <c r="C11" s="19" t="inlineStr">
        <is>
          <t>Manual action; section ranked on its own (or removed)</t>
        </is>
      </c>
      <c r="D11" s="19" t="inlineStr"/>
    </row>
    <row r="12" ht="36" customHeight="1">
      <c r="A12" s="23" t="inlineStr">
        <is>
          <t>T10</t>
        </is>
      </c>
      <c r="B12" s="23" t="inlineStr">
        <is>
          <t>Thin affiliate pages (copied merchant descriptions)</t>
        </is>
      </c>
      <c r="C12" s="23" t="inlineStr">
        <is>
          <t>Demotion under thin-affiliation policy</t>
        </is>
      </c>
      <c r="D12" s="23" t="inlineStr"/>
    </row>
    <row r="13" ht="36" customHeight="1">
      <c r="A13" s="19" t="inlineStr">
        <is>
          <t>T11</t>
        </is>
      </c>
      <c r="B13" s="19" t="inlineStr">
        <is>
          <t>Unmoderated user-generated spam</t>
        </is>
      </c>
      <c r="C13" s="19" t="inlineStr">
        <is>
          <t>Page/site quality signals dragged down</t>
        </is>
      </c>
      <c r="D13" s="19" t="inlineStr"/>
    </row>
    <row r="14" ht="36" customHeight="1">
      <c r="A14" s="23" t="inlineStr">
        <is>
          <t>T12</t>
        </is>
      </c>
      <c r="B14" s="23" t="inlineStr">
        <is>
          <t>Hacked site / injected spam or malware</t>
        </is>
      </c>
      <c r="C14" s="23" t="inlineStr">
        <is>
          <t>Warnings in results; rankings collapse until cleaned</t>
        </is>
      </c>
      <c r="D14" s="23" t="inlineStr"/>
    </row>
    <row r="15" ht="36" customHeight="1">
      <c r="A15" s="19" t="inlineStr">
        <is>
          <t>T13</t>
        </is>
      </c>
      <c r="B15" s="19" t="inlineStr">
        <is>
          <t>Misleading functionality (fake buttons, fake generators/downloads)</t>
        </is>
      </c>
      <c r="C15" s="19" t="inlineStr">
        <is>
          <t>Removal from results</t>
        </is>
      </c>
      <c r="D15" s="19" t="inlineStr"/>
    </row>
    <row r="16" ht="36" customHeight="1">
      <c r="A16" s="23" t="inlineStr">
        <is>
          <t>T14</t>
        </is>
      </c>
      <c r="B16" s="23" t="inlineStr">
        <is>
          <t>Policy circumvention (new subdomains to dodge penalties)</t>
        </is>
      </c>
      <c r="C16" s="23" t="inlineStr">
        <is>
          <t>Broader action across more of the site</t>
        </is>
      </c>
      <c r="D16" s="23" t="inlineStr"/>
    </row>
    <row r="17" ht="36" customHeight="1">
      <c r="A17" s="19" t="inlineStr">
        <is>
          <t>T15</t>
        </is>
      </c>
      <c r="B17" s="19" t="inlineStr">
        <is>
          <t>Copyright infringement at volume</t>
        </is>
      </c>
      <c r="C17" s="19" t="inlineStr">
        <is>
          <t>Site-wide demotion via removal-based systems</t>
        </is>
      </c>
      <c r="D17" s="19" t="inlineStr"/>
    </row>
    <row r="18" ht="36" customHeight="1">
      <c r="A18" s="23" t="inlineStr">
        <is>
          <t>T16</t>
        </is>
      </c>
      <c r="B18" s="23" t="inlineStr">
        <is>
          <t>Scam / fraud / impersonation</t>
        </is>
      </c>
      <c r="C18" s="23" t="inlineStr">
        <is>
          <t>Removal from results</t>
        </is>
      </c>
      <c r="D18" s="23" t="inlineStr"/>
    </row>
    <row r="19" ht="36" customHeight="1">
      <c r="A19" s="19" t="inlineStr">
        <is>
          <t>T17</t>
        </is>
      </c>
      <c r="B19" s="19" t="inlineStr">
        <is>
          <t>Scraping Google (machine-generated traffic)</t>
        </is>
      </c>
      <c r="C19" s="19" t="inlineStr">
        <is>
          <t>IP blocks; ToS violation</t>
        </is>
      </c>
      <c r="D19" s="19" t="inlineStr"/>
    </row>
  </sheetData>
  <mergeCells count="1">
    <mergeCell ref="A1:D1"/>
  </mergeCells>
  <conditionalFormatting sqref="D3:D19">
    <cfRule type="cellIs" priority="1" operator="equal" dxfId="0">
      <formula>"Pass"</formula>
    </cfRule>
    <cfRule type="cellIs" priority="2" operator="equal" dxfId="1">
      <formula>"Fail"</formula>
    </cfRule>
    <cfRule type="cellIs" priority="3" operator="equal" dxfId="2">
      <formula>"In progress"</formula>
    </cfRule>
    <cfRule type="cellIs" priority="4" operator="equal" dxfId="3">
      <formula>"N/A"</formula>
    </cfRule>
  </conditionalFormatting>
  <dataValidations count="1">
    <dataValidation sqref="D3:D19" showDropDown="0" showInputMessage="0" showErrorMessage="0" allowBlank="1" type="list">
      <formula1>"Pass,Fail,In progress,N/A"</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2026-10-03T09:12:32+00:00Z</dcterms:created>
  <dcterms:modified xmlns:dcterms="http://purl.org/dc/terms/" xmlns:xsi="http://www.w3.org/2001/XMLSchema-instance" xsi:type="dcterms:W3CDTF">2026-10-03T09:12:32+00:00Z</dcterms:modified>
</cp:coreProperties>
</file>